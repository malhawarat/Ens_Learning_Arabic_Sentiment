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mmanuedujo0-my.sharepoint.com/personal/10659_ammanu_edu_jo/Documents/Research/ICETES2026/Ensemble Learning for Arabic Sentiment Analysis/Revised Paper/Results/"/>
    </mc:Choice>
  </mc:AlternateContent>
  <xr:revisionPtr revIDLastSave="116" documentId="11_F25DC773A252ABDACC1048F451DD46505BDE58F5" xr6:coauthVersionLast="47" xr6:coauthVersionMax="47" xr10:uidLastSave="{7FE7D492-92F8-452D-876C-80A515C7C267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M4" i="1" l="1"/>
  <c r="F9" i="1" s="1"/>
  <c r="G8" i="1"/>
  <c r="H8" i="1" s="1"/>
  <c r="H4" i="1"/>
  <c r="F10" i="1" l="1"/>
  <c r="G9" i="1"/>
  <c r="G10" i="1"/>
</calcChain>
</file>

<file path=xl/sharedStrings.xml><?xml version="1.0" encoding="utf-8"?>
<sst xmlns="http://schemas.openxmlformats.org/spreadsheetml/2006/main" count="14" uniqueCount="11">
  <si>
    <t>Total Errors</t>
  </si>
  <si>
    <t>FN</t>
  </si>
  <si>
    <t>FP</t>
  </si>
  <si>
    <t>Total</t>
  </si>
  <si>
    <t>Annotators Agreement on noisy labels</t>
  </si>
  <si>
    <t>Total Samples</t>
  </si>
  <si>
    <t>Error</t>
  </si>
  <si>
    <t>Total Noise</t>
  </si>
  <si>
    <t xml:space="preserve">Real Error </t>
  </si>
  <si>
    <t>Performance</t>
  </si>
  <si>
    <t>This is the percentage that both narrotors believe that it is noise  (mislabeled as Positive, where it should be Negative, or mislabeled as Negative, where it should be 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</si>
</sst>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M10"/>
  <sheetViews>
    <sheetView tabSelected="1" workbookViewId="0">
      <selection activeCell="H10" sqref="H10"/>
    </sheetView>
  </sheetViews>
  <sheetFormatPr defaultRowHeight="14.4" x14ac:dyDescent="0.3"/>
  <cols>
    <col min="5" max="5" width="12.33203125" bestFit="1" customWidth="1"/>
    <col min="7" max="7" width="8" bestFit="1" customWidth="1"/>
    <col min="8" max="8" width="11.5546875" bestFit="1" customWidth="1"/>
    <col min="10" max="10" width="21.6640625" customWidth="1"/>
  </cols>
  <sheetData>
    <row r="3" spans="5:13" x14ac:dyDescent="0.3">
      <c r="F3" s="1" t="s">
        <v>1</v>
      </c>
      <c r="G3" s="1" t="s">
        <v>2</v>
      </c>
      <c r="H3" s="1" t="s">
        <v>3</v>
      </c>
      <c r="J3" s="6"/>
      <c r="K3" s="1" t="s">
        <v>1</v>
      </c>
      <c r="L3" s="1" t="s">
        <v>2</v>
      </c>
      <c r="M3" s="1" t="s">
        <v>3</v>
      </c>
    </row>
    <row r="4" spans="5:13" ht="30.6" customHeight="1" x14ac:dyDescent="0.3">
      <c r="E4" s="8" t="s">
        <v>0</v>
      </c>
      <c r="F4" s="7">
        <v>141</v>
      </c>
      <c r="G4" s="7">
        <v>260</v>
      </c>
      <c r="H4" s="7">
        <f>SUM(F4:G4)</f>
        <v>401</v>
      </c>
      <c r="J4" s="9" t="s">
        <v>4</v>
      </c>
      <c r="K4" s="7">
        <v>46</v>
      </c>
      <c r="L4" s="7">
        <v>128</v>
      </c>
      <c r="M4" s="7">
        <f>SUM(K4:L4)</f>
        <v>174</v>
      </c>
    </row>
    <row r="5" spans="5:13" ht="67.8" customHeight="1" x14ac:dyDescent="0.3">
      <c r="J5" s="10" t="s">
        <v>10</v>
      </c>
      <c r="K5" s="10"/>
      <c r="L5" s="10"/>
      <c r="M5" s="10"/>
    </row>
    <row r="7" spans="5:13" x14ac:dyDescent="0.3">
      <c r="E7" s="2" t="s">
        <v>5</v>
      </c>
      <c r="F7" s="4">
        <v>10570</v>
      </c>
      <c r="G7" s="5">
        <v>1</v>
      </c>
      <c r="H7" s="3" t="s">
        <v>9</v>
      </c>
    </row>
    <row r="8" spans="5:13" x14ac:dyDescent="0.3">
      <c r="E8" s="2" t="s">
        <v>6</v>
      </c>
      <c r="F8" s="3">
        <v>401</v>
      </c>
      <c r="G8" s="11">
        <f>401/F7</f>
        <v>3.7937559129612108E-2</v>
      </c>
      <c r="H8" s="12">
        <f>1-G8</f>
        <v>0.96206244087038795</v>
      </c>
    </row>
    <row r="9" spans="5:13" x14ac:dyDescent="0.3">
      <c r="E9" s="2" t="s">
        <v>7</v>
      </c>
      <c r="F9" s="3">
        <f>M4</f>
        <v>174</v>
      </c>
      <c r="G9" s="11">
        <f>F9/F7</f>
        <v>1.6461684011352885E-2</v>
      </c>
      <c r="H9" s="12"/>
    </row>
    <row r="10" spans="5:13" x14ac:dyDescent="0.3">
      <c r="E10" s="2" t="s">
        <v>8</v>
      </c>
      <c r="F10" s="3">
        <f>F8-F9</f>
        <v>227</v>
      </c>
      <c r="G10" s="12">
        <f>G8-G9</f>
        <v>2.1475875118259224E-2</v>
      </c>
      <c r="H10" s="12">
        <f>1-G10</f>
        <v>0.97852412488174079</v>
      </c>
    </row>
  </sheetData>
  <mergeCells count="1"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Mohammad Alhawarat</dc:creator>
  <cp:lastModifiedBy>Dr Mohammad Alhawarat</cp:lastModifiedBy>
  <dcterms:created xsi:type="dcterms:W3CDTF">2015-06-05T18:17:20Z</dcterms:created>
  <dcterms:modified xsi:type="dcterms:W3CDTF">2025-12-08T20:07:50Z</dcterms:modified>
</cp:coreProperties>
</file>