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mmanuedujo0-my.sharepoint.com/personal/10659_ammanu_edu_jo/Documents/Research/ICETES2026/Ensemble Learning for Arabic Sentiment Analysis/Revised Paper/Results/"/>
    </mc:Choice>
  </mc:AlternateContent>
  <xr:revisionPtr revIDLastSave="7" documentId="13_ncr:1_{9B5022EB-148E-4203-BC62-5802E019E306}" xr6:coauthVersionLast="47" xr6:coauthVersionMax="47" xr10:uidLastSave="{EB825A47-5C9E-499C-8023-BD8A5B4CCDD0}"/>
  <bookViews>
    <workbookView xWindow="-108" yWindow="-108" windowWidth="23256" windowHeight="12576" xr2:uid="{EFDB32B7-21F9-4544-B373-6D8056A4212B}"/>
  </bookViews>
  <sheets>
    <sheet name="camelbert_seed42_FN_Annot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3"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2" i="1"/>
  <c r="D148" i="1"/>
  <c r="D147" i="1"/>
  <c r="D146" i="1"/>
  <c r="C148" i="1"/>
  <c r="C147" i="1"/>
  <c r="C146" i="1"/>
  <c r="J14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2" i="1"/>
</calcChain>
</file>

<file path=xl/sharedStrings.xml><?xml version="1.0" encoding="utf-8"?>
<sst xmlns="http://schemas.openxmlformats.org/spreadsheetml/2006/main" count="443" uniqueCount="163">
  <si>
    <t>index</t>
  </si>
  <si>
    <t>review</t>
  </si>
  <si>
    <t>true_label</t>
  </si>
  <si>
    <t>predicted_label</t>
  </si>
  <si>
    <t>confidence</t>
  </si>
  <si>
    <t>prob_negative</t>
  </si>
  <si>
    <t>prob_positive</t>
  </si>
  <si>
    <t>Noise Narrator 1</t>
  </si>
  <si>
    <t>Noise Narrator 2</t>
  </si>
  <si>
    <t>“فندق لايستحق 5 نجوم”. السرير مريح. الموكيت متهالكروائح كريهه في الممرات حجم الغرفه لايوازي المبلغ المدفوع</t>
  </si>
  <si>
    <t>Positive</t>
  </si>
  <si>
    <t>Negative</t>
  </si>
  <si>
    <t>“سيء لسبب واحد”. . يوجد صراصير داخل دوره المياه !!المفارش غير نظيفه</t>
  </si>
  <si>
    <t>“يجب ان تنتقل يطلباتك معاك”. الموقع والشاطي جيد. بعد المكان كانك مسافر الي مدينه اخري ولست بجده لا يرقي لخمسه نجوم الغرف بعيده عن المصعد لايوجد بالغرفه ثلاجه اغراضك تضعها علي الطاوله لا يوجد سخان ولاماء ولاشاهي اوقهوه اومنيوللطلبات يعدمك الجوع والعطش</t>
  </si>
  <si>
    <t>“فقط السعر مناسب”. مريح وهادئ وموقع جيد لكن لاخدمات به وخاصه العمال قليل والغرف كثيرهوالاستقبال لايرد ع الاتصال نهائيا. الاستقبالزلايتعاون ولايرد ع الاتصال ولايوجد خدم للغرف</t>
  </si>
  <si>
    <t>“الميزه الوحيده الجيده خدمه الباص للنقل للحرم.”. طاقم العمل بشوش، خدمه نقل الباص للحرم جيده.. النظافه للاسره والملاحف غير نظيفه ، خدمه الغرف غير جيده ، الافطار كل يوم نفس الاكل غير متنوع ، السعر مرتفع للغداء بالنسبه فقط لاربع اصناف من الاكل ، المواقف سيئه وغير مرتبه.</t>
  </si>
  <si>
    <t>“للاسف”. استقبال جيد. الاسعار لاتتطابق مع ماهو معروض بالموقع بسبب اضافه الظريبه بمبلغ مرتفع والافطار اقل من مضعيف مقابل مبلغ مرتفع ولاتستطيع استرجاعه منهم لبقيه الايام.</t>
  </si>
  <si>
    <t>“التراجع بعد التقدم نتيجه جروبات الفقراء واصحاب البيئات الفقيره وغير النظيفه”. فريق الاستقبالالاستاذ علي بخش فريق العلاقات. همجيه الناس في المطعم نقص واهمال نتيجه تدني المستوي والحرمان الواضح في كثير من النزلاء فريق الصيانه لا يوجد حمام خمس نجوم بل خالي من كل شيء يميزه</t>
  </si>
  <si>
    <t>“مابوه شي”. محلوي.</t>
  </si>
  <si>
    <t>“عمران”. الموقع جيد جدا.. طاقم العمل مقبول .. الخدمات ضعيفه.. اﻷكل جيد. الخدمات... ضعيفه..</t>
  </si>
  <si>
    <t>“فندق مهضوم حقه”. - موقع الفندق وبوفيه الغذاء والافطار .- بوفيه العشاء بمكان جميل ورائع تحذوه الخضره من جميع جوانبه .- مسبحه المطل علي مكان البوفيه .- يوجد ايضا بروجكتر كبير جدا اثناء العشاء ووقت السباحه .- استايل الفندق خرافي من الداجل .- هدوئه الاكثر من رائع .- جلساته ال. - ضعف النت داخل الغرف وكنت بالطابق الثالث .- الخدمه جميله لكنها بطيئه .- شكل الفندق من الخارج لا يوصف جماله من الداخل .</t>
  </si>
  <si>
    <t>“عدم الثقه”. الموقع. حجزت وواعدوني بئشياء ومن ضمنها السياره الفارهه وطلعه في الاحلام هههههههه</t>
  </si>
  <si>
    <t>“مايستاهل”. الموقع قريب من اماكن مهمه.. تقل الفخامه حتي تصل للغرفه. الغرفه حجمها متوسط الي صغير ولا يوجد فيها متسع ولا جلسه كنب. تشعرك بالكتمه، التحكم بدرجه التكييف سيء وصعب، تصميم الغرفه سيء جدا</t>
  </si>
  <si>
    <t>“رحله عمل”. لا شي وذالك بسبب الاقامه لمده نصف يوم. الواي فاي غير جيدالاستقبال كان غير جيد وسبب كثره التدخين</t>
  </si>
  <si>
    <t>“واحد يخرب علي الكل”. . الشخص اللي كان في الاستقبال وقت الشيك ان لم يكن متعاون وليس لديه اسلوب في التعامل واما باقي طاقم العمل ممتاز</t>
  </si>
  <si>
    <t>“مقبول”. . الاجراءات فيها تاخير ولاتوجد خدمات ومطاعم قريبهوتوزيع الغرف بالادوار ، كانها غرف بشقق</t>
  </si>
  <si>
    <t>“الفندق عادي جدا”. لا شي. اول شي الديسكو مزعج يوصل الصوت لي الغرف ثاني شي كان التلفزون خربان ولا فيه قنوات غير الاخباريه و لما دخلت الغرفه كانت غير مجهزه للاسف</t>
  </si>
  <si>
    <t>“العمره اهم”. قربه من الحرم. عدم وجود اي خدمات في الغرفه لا ادوات غسيل ولا مناشف ولا صابون</t>
  </si>
  <si>
    <t>“تجربه لن تتكرر”. السماح ب late check out. لا يتوفر سوبرماركت او صيدليه او اي مطعم بالقرب من الفندقتم سحب مبلغ التامين و لم يسترد حتي شهر من تاريخ الزياره</t>
  </si>
  <si>
    <t>“؟؟؟ سعر الغرفه شامل مع الضريبه”. . سعر الغرفه الموجود 166 ذرهم علي البوكنج , بعد ماذهبت للفنذق , اخبروني بان ادفع210ذرهمالضريبه (10%) غير مشمولهرسوم الخدمه (10%) غير مشمولهضريبه المدينه (AED 10 في الليله الواحده) غير مشموله , المفروض توضيح المبلغ وافادتي قبل الحجز بسعر الغرفه شامل قبل الحجز .في ذلك الضريبه (10%) غير مشمولهرسوم الخدمه (10%) غير مشمولهضريبه المدينه (AED 10 في الليله الواحده) غير مشموله ارجو النظر الضريبه (10%) غير مشمولهرسوم الخدمه (10%) غير مشمولهضريبه المدينه (AED 10 في الليله الواحده) غير مشموله ارجو النظر في ذلك وشكراااا</t>
  </si>
  <si>
    <t>“لا انصح بالسكن بهذا الفندق”. قريب من المسجد والنظافه والراحه. 1/ عدم وجود سيارات الاجره امام الفندق2/ السعر مرتفع جدا بالنسبه لموقع الفندق البعيد عن كل الخدمات</t>
  </si>
  <si>
    <t>“فندق عادي جدا بس غالي مادري ليش !!”. ﻻ يوجد شي مميز .. فندق عادي جدا بس مبالغين بالسعر .!!. لم يعجبني السعر مقابل الغرف.شقق عاديه جدا اثاث عادي جدا.سعر مرتفع بالرغم من موقع اصلاحات .</t>
  </si>
  <si>
    <t>“تجربه سيئه”. قربه من الجي بي ار. الاستقبال بطيء ويوجد موضف مصري في المسبح طلبت منه شيشه مع لي طبي طلب من بخشيش يقول قيمت لي الشيشه الطبي 25 درهم وعندما طلبت فاتوره قال هذا بدون فاتوره</t>
  </si>
  <si>
    <t>“قليل التكلفه موقع مميز”. الموقع فقط. عدم وجود حذاء لدوره المياه عدم وجود سخان ماء لعمل المشروبات في الغرفه غالي قيمه المشروبات في الفندق عدم وجود سفتي في الغرفه الاثاث قديم الغرفه التي تم اعطت لي للمدخنين علما بانه عند الحجز طالبت غرفه لغير المدخنين الاثاث قديم</t>
  </si>
  <si>
    <t>“لاكن انصح بالفندق”. . ازعاج من المباني المجاوره كذالك التعامل في دفع المبالغ الماليه يحاسبونك اول باول كانك بتهرب من الفندق</t>
  </si>
  <si>
    <t>“ليس من عادتهم”. اعجبني سرعه المصاعد، و وسع الغرفه مع تعدد دورات المياه ففي الغرفه حمامين و مغسله خارجيه (غير مغسله المطيبخ ). هذه ثالث مره اسكن في الفندق، هذه المره كان التعامل غير جيد اذ ان الاستقبال كانهم جدد فتعاملهم وسط حدددا، يسمحون للعامل يطرق الباب يوميا فاذا لم يجد اجابه يفتح عليك الباب ليتاكد ان الشقه مسكونه و انك " ما انحشت" و هذه صارت لي مرتين وقت الضحي او الظهر و الاهل نايمين في رمضان يوم هزات الاستقبال يقول اخاف يروح المستاجر و لا يدفع ثم انا اتحملها " منطق سيء للغايه " يعني يمديه يتصل بالتلفون و يتاكد او يطلب الايجار قبل اادخول و بس .كذلك الاستقبال ما فيه الا تلفون واحد يعني يبي لك ربع ساعه حتي يرد عليك الموظف اما العامل فيتاخر جدا حتي يصل لعندك .هذا ما لم يعجبني في الفندق علما ان هذا الكلام في رمضان فقد يكون ما سبق بسبب الضغط .لكن جمله الفندق يتميز جدددا بوسع الغرف و تعدد دورات المياه</t>
  </si>
  <si>
    <t>“جيد”. الموقع فقط. الغرفه من الطراز القديم لايوجد واي فاي بالغرف مجانا</t>
  </si>
  <si>
    <t>“جيد لرحله العمل ، فقط للنوم”. الواي فاي سريع. غرف ضيقه وحمام اضيق لا يوجد فيه ادوات تنظيف.</t>
  </si>
  <si>
    <t>“عادي جدا”. لم يعجبني ازعاج في المصاعد والاستقبال. عدم توفر مواقف وكذلك الواي فاي المجاني ولا يوجد مصلي ولا نادي صحي السعر مرتفع والاطلاله سيئه</t>
  </si>
  <si>
    <t>“فهد ابراهيم”. لا شيء. الانترنت سيء جدا</t>
  </si>
  <si>
    <t>“الجبيل الصناعيه شاهين يوسف”. االفندق وموقعه وقيمته ﻻلاثاثيه ونضيفته. الاستقبال وتعامله المزري وعدم يحترام الساكن وهمجيه التعامﻻ وحيث انني سكنت لدي يلفندق عده مرات ليس للا ستقبال ولكن لموقعه وسعره المناسب وحيث انني لا اطلب من الاستقبال اي شي وان طلبت لايجاب وتوفير الخدمات ضعيفه وحيث تبق ي الغرفه لمده ثلاث ايام ولم تنظف</t>
  </si>
  <si>
    <t>“management of the hotel were very polit and help full”. عدم وجود وجبه غداء اتعبتنا من الرواح والمجيئ لان لم يكن معلمات واضحه من اداره الفندق. bathrooms were very small an hardly I enjoyed taking bath also the offer was in your add tea but only three tea bags were the share of every room also water only two bottle of water to each room</t>
  </si>
  <si>
    <t>“فندق كنانه جده”. نظافه الفندق فقط .. خدماته مقبوله لكن تتاخر الخدمات بالوصول لك كطلب شيء من الخدمات للغرفه وموقعه البعيد عن مواقع الترفيه كالكورنيش وغيره .</t>
  </si>
  <si>
    <t>“رفه عن نفسك”. . عدم توفر مواقف للسيارات</t>
  </si>
  <si>
    <t>“دعوه ام ؟؟!”. انا متاكد من غرابه عنواني ولكن اللي حصل اني مسافر بعد زواجي بيوم الي جده وعندي حجز سويت مطل بالفندق قبل سفري وعند توديعي لامي واهدائها مبلغ زهيد في حقها كام فكنوز الدنيا لا توفي حق الوالدين دعت لي بان يرزقني الله وان يعوضني فما كان بين دعوتها واستجابتها الا ساعات قليله عند وصولي للفندق اخبروني بانهم تجاهلوا حجزي بالغلط وان الفندق لايوجد به غرف او سويت فلللل وانهم سيعوضوني وبالفعل تم ترقيه حجزي من سويت الي دور ملكي خاص بي فقط سعر الليله الواحده ٣٧ الف هههههههه بصراحه انصدمت والدور بالكامل زجاج وكلمه خرافي قليله فيه فذكرت دعوه الغاليه وعلمت بان كل ما قدمته لوالديك سيعوضك الله بضعف اضعافه. الزبده الدور ب ٣٧ الف وش الشين اللي بيكون فيه هههههههههه</t>
  </si>
  <si>
    <t>“المطففين”. . سوء الاستقبال عدم توفير كثير من الخدمات المطلوبه السعر كان اعلا من كثير من النزلاء الاخرين بفارق يصل الي اكثر من 300 ريال</t>
  </si>
  <si>
    <t>“طرشت الملح”. دخول الفندق سريع. تاخير في وصول السياره والسعر مبالغ فيه</t>
  </si>
  <si>
    <t>“لن اعود مره اخري”. حسن الاستقبال و الموقع Good reception and location. القيمه مبالغ فيها +المبالغه في اسعار العصيرات والماء من الكوفي شوب للغرف علما بان كاسات صغيره جدا مقابل القيمه +ارضيه الحمام زلقه جدا+السرير غير مريح بما يكفي +الشراشف غير جديده +الازعاج صباحا بتوزيع اوراق تنبيه الخروج مع طرق الباب من قبل العامل لاخبارك بموعد المغادره علما باني مسجل دخول الساعه 11.30مسا +عدم وجود الميني بار في الثلاجه + وقت الخروج باكرا الساعه 12 مساء Exaggerated value where + overstate the prices of juices and water from the coffee shops room note that the cups are very small compared to the value + bathroom floor very slippery + bed is comfortable enough + sheets new non- + hassle am distributing an alert out with a knock on the door leaves by working to inform you of the date of departure note that I logged in Massa 11.30 + lack of minibar in the fridge + early checkout time clock 12:00</t>
  </si>
  <si>
    <t>“راخه”. السعر. النت</t>
  </si>
  <si>
    <t>“٧”. المكان من خلل شاليات الدانه مررره جميل والبحر مررره قريب وفيه خصوصيه. المعامله من قبل المواظفين سيئه جدا والخدمات سييئه جدااا وخاصتنا مواظفينالبوابه والمغربي انسان سيئه جدااااا جدااااا معامله لاتدل ع راقيه المكان</t>
  </si>
  <si>
    <t>“ازعاج”. . ازعاج الشارع بالغرفه</t>
  </si>
  <si>
    <t>“جيد”. الاكل جيد. خدمه الراي فاي معقوله فندق اربع نجوم مافيه واي فاي الا في الاستقبال حتي شقق العاديه فيها واي فاي جميع الغرف. شي سيئ لا يوجد واي فاي تضجرت من عدم وجوده</t>
  </si>
  <si>
    <t>“عدم الامانه في الدعايه”. الفندق فخم و نظيف و الخدمه به جيده لكنه يفتقد اهم عنصر جذب بالنسبه لموقعه....البعد عن الحرم و عدم توفر وسيله مواصلات جيده من و الي الحرم. علي كوقع الفندق قيل ان المسافه الي حرم 1.5 كن و تبين علي جوجل و علي ارض الواقع انها 7.5 كم و تلك سقطه سيئه جدا في حق الفندق و الدعايه له....عدم الاكانه في الدعايه للمكان مما اثر بالسلب عن الهدف من الزياره و هو زياره الحرم مع كل اذان. البعد عن الحرم و الكذب في الدعايه بذكر ان المسافه 1.5 كم من الحرم و هي في الواقع 7.5 كم</t>
  </si>
  <si>
    <t>“تجربه ممتعه لن اكررها في نفس الفندق”. الموقع ممتاز وقريب من كافه الامان التي اريدها. تنوع قائمه الطعام في المطعم. الانترنت سريع جدا. Location is great as it is near places that I want to go. Nice menu and restaurant.. تعامل ابن صاحب الفندق (ف) كان سيئ جدا مع العماله والموظفين بالفندق الي درجه انه يمكن وصف تعامله معهم كسخره والتي اعتبرها انتهاك لحقوق الانسان وحقوق العمال.The son of the hotel’s owner (F ) was dealing abusively with hotel staff. Confirmaly, I can describe his dealings with them as "slavery" which I consider the obvious violation of human rights and workers' rights.</t>
  </si>
  <si>
    <t>“ارجو الاهتمام بالنزيل”. لقد قمت بالحجز غرفتين توام واتصلت بهم قبل وصولي بساعه للفندق للتاكد من جاهزيتها ولكن عند وصولي الي الفندق اخبروني بعدم جاهزيتها الساعه ٤ عصرا وطلب مني الانتظار نصف ساعه ولكن فوجئت بعد الانتظار بانهم يقولون لي ان هناك غرفه توام وغرفه مفرد جاهزه فقط واذا اردت الغرفتين اللتين حجزتهما من خلال برنامج booking فعلي الانتظار فاضطررت للموافقه حتي لا انتظر اكثر. عدم تجهيز الغرفتين اللتين تم حجزهماطلب مني المغادره الساعه١٢ ظهرا</t>
  </si>
  <si>
    <t>“الحقيقه”. الموقع ، الافطار. النظافه للاسف</t>
  </si>
  <si>
    <t>“وجهت نظر”. قريب من الكورنيش وعلي طريق مدينه كلباء وخورفكان. يوجد رائحه طهو الطعام في بعض الطوابق</t>
  </si>
  <si>
    <t>“تغيير جو”. . الاطلاله صحيح انه علي معبر مائي الا ان هناك تعمير وانشاءات مشوهه المنظر</t>
  </si>
  <si>
    <t>“المكان ممتاز”. لا شي. اول مره اسمع الانترنيت بفلوس بصراحه شي سيئ جدا جدا والله عيب عليهم في الامارات وفي حد يطلب الانترنيت بفلوس في فندق سكنت اقل منه مستوي والانترنيت فيه بلاش وبعد قوي لكن شو الواحد يقول عقل مافي واكيد الاداره تعبانه جدا</t>
  </si>
  <si>
    <t>“القرب عنوان”. لايوجد افطار. الفرش متسخ. النت ضعيف. الافظار لايوجد</t>
  </si>
  <si>
    <t>“سوء المعامله في تقديم الطلبات”. المنظر. المكان</t>
  </si>
  <si>
    <t>“جيد”. لاشيء. التكيف الغرفه الي جانبي مزعج جدا</t>
  </si>
  <si>
    <t>“الموقع فقط”. الموقعمرتبه السرير. لا يوجد عزل للصوت في الغرفخدمه صف السياره دون مستوي الخمسه نجوممدخل الفندق واللوبي دون المستوي بامكانك الاقامه في فندق اخر افضل من هذا الفندق وبنفس هذا السعر</t>
  </si>
  <si>
    <t>“لاباس فيه”. النظافه + طاقم موظفي قسم الطعام. الاستقبال عندهم سيئ جدا لم يهتمو بااستقبال الضيوف والشنط والعفش الضيف هو الذي ينشغل بتحميل امتعته لايوجدعمال لحمل الشنط وامتعه الضيوف + روائح التدخين منتشره في الفندق + بعده عن الحرم والمسافهالمعروضهفي هذا الموقع غيرصحيحه</t>
  </si>
  <si>
    <t>“مواقفها خايسه وكثير علقو بوسطها وانا منهم وبصعوبه طلعت”. . مواقفها وفرض رسوم غير الاجار لسياره</t>
  </si>
  <si>
    <t>“لن اسكن فيه مره اخري الا اذا كان سعره رخيص مره”. الموقع ممتاز نسبيا و الغرف واسعه و نظيفه .. كثره المصاعد .. عدم وجود ازعاج .. المطعم ممتاز. حجزت غرفه سرير مزدوج و عند الوصول لقيتها سريرين و طلبت ضمها بعد العصر و لم تضم و بعد المغرب و لم تضم و بعد العشاء مرتين حتي ارسلو العمال لضم السريرين .. الانترنت يتغير يوميا الرمز السري و اسم المستخدم و عند الطلب لليوم الثاني قال لي موظف الاستقبال بارسل لك الرقم مع العامل و خرجت من الفندق بعد يومين و لم يحضر العامل الي الان .. كرسي الحمام لم يكن نظيف و طلبت عامل النظافه و لم يرسلوه حتي لقيته في السيب صدفه و اعطيته بخشيش عشان ينظف الحمام .. الخدمه ليست جيده كانك ساكن عندهم بفلوسهم</t>
  </si>
  <si>
    <t>“الفندق جيد ، لكن انا ما توفقت”. - بوفيه الفطور والسحور.- المواصلات لا باس بها، لكن رائحه الطريق من بعد النفق الي الفندق متعب قليلا.- توفر باصات الفندق ، واذا ما وجدت تحصل علي باصات النقل العامه بريالين للشخص.- عمال نقل الاغراض متعاونين ورتبوا لي مواصلات الي المدينه المنوره.. - طلبت غرفتين ، وحده ممتازه ، والثانيه دمار ، كانت صغيره ، والابجوره مكسوره ، والفراش محروق ومشقق ، استغربت ، اما الغرفه الثانيه اكبر ومرتبه ، للعلم انا طالب حجرتين كل حجره لشخصين.</t>
  </si>
  <si>
    <t>“سائح وزوجته من السعوديه”. . عدم وتوفر واي فاي بالمجان مثل معظم شقق سكن دبي في مستوي شقق شلسي لابد من اعاده النظر في ذلك لانها اكثر شكاوي الساكنين حسب ماسمعت ومالمسته.</t>
  </si>
  <si>
    <t>“شكوي”. . تم سحب من بطاقتي الائتمانيه مبلغ زائد وعلي الرغم من ابلاغي لهم بذلك الا انهم طلبوا مني ان ادفع عن طريق البطاقه مره اخري وبامكانكم التاكد من ذلك.</t>
  </si>
  <si>
    <t>“مشكله واحده”. مشكله واحده عكرت عيد زواجي. الاستقبال كان سئ .. حيث انني حجزت قبل 3 ايام .. ووصلت عصرا وبقيت الي الساعه 5 بانتظار تجهيز الغرفه .. وتم طلب خروجي في اليوم الثاني عند الواحده ظهرا .. اتمني تعويضي بشي مميز يرضي اعجابي بكم .. او ساقوم بتغيير وجهتي مستقبلا</t>
  </si>
  <si>
    <t>“شابان عزاب”. اعجبني طبيعه المجمع مع الفندق. لا يوجد</t>
  </si>
  <si>
    <t>“وداعا يا بوكينق في السعوديه”. اعجبني حسن استقبال الشاب السعودي عيدالرحمن وتنوع المطاعم والمقاهي والهدوء .. سرعه رد الخدمات الهاتفيه. تصريف ماء المروش يخرج للممر ويغرق الغرفه .. كانك في شقق مفروشه مبتدئه ولست في فندق خمس نجوم .. اضطريت اخلع الجوارب للدخول والخروج من دووه المياه .. كذلك كثره بطاقات الشنط عند طلب التشيك اوت لم افهمها وفي الاخير انا الي حملت شنطي بنفسي .. كذلك ضعف استخدام العاملين للغه العربيه فتضطر للحديث معهم بالانجليزيه رغم عدم اجادتي التامه لها مما ينتج عنه ضعف الخدمه وتاخرها علي سبيل المثال المقهي الارضي يشترط حد ادني 100 ريال للفرد باستثناء النزلاء ورغم انني نزيل لم يتم استثنائي .. كذلك هناك تباين في اسعار البوكينق والاستقبال حيث خدعني البوكينق وحجزت من طريقه بالف واربعمائه ريال دون افطار مجاني وعند الحضور للفندق وجدت الناس تحجز بالف ومائتا ريال مع افطار مجاني .. وداعا للبوكينق في السعوديه</t>
  </si>
  <si>
    <t>“غير مقبول بالنسبه للسعر”. نعم. حجم الغرفه صغير</t>
  </si>
  <si>
    <t>“جيده نوعا ما”. . الغرف يوصل لها ازعاج الموسيقي من النادي الليلي</t>
  </si>
  <si>
    <t>“السعر غالي”. . السعو</t>
  </si>
  <si>
    <t>“فندق جميل لكن مبالغه في الاسعار”. . تاخر في الخدمه والاسعار المبالغه</t>
  </si>
  <si>
    <t>“راحت بال وقرب من الحرم”. موقع الفندق وتعدد الاسنصيرات التعامل السريع مع المشاكل. عدم السؤال عن خدمات الغرفه من قبل عمال النظافه</t>
  </si>
  <si>
    <t>“ازعاج”. الاطلاله رائعه جدا. ازعاااااااج عمال كانو فوق غرفه النوم مباشره وازعجوني وكلمتهم اكثر من ومالقيت تجاوبغير كذا كل شي في الفندق حلو</t>
  </si>
  <si>
    <t>“انصح باﻻقامه في الشقق”. . اعمال بناء بالقرب من الموقع</t>
  </si>
  <si>
    <t>“يحتاج تجديد”. الوصول للفندق صعب ويضيع شوي. الاكل في مطعم البويه. غالي مقابل لجوده الاكل والتنوع</t>
  </si>
  <si>
    <t>“.....”. الغرفه مرتبه ونظيفه... ازعاج من الصبح فالممرات..والصوت ينسمع فالغرف ومسوي ازعاج..</t>
  </si>
  <si>
    <t>“اخلاقهم عاليه تفتح نفسك للايجار”. . عدم وجود بلاك اوت للنوافذ، والازعاج من السيارات</t>
  </si>
  <si>
    <t>“جيدا”. . المكان والراحه</t>
  </si>
  <si>
    <t>“موقع ممتاز لكن الراحه ضعيف جدا”. الموقع لانه قريب جدا لبرج خليفه وسعره مقارنه بالموقع لاباس فيه. ازعاج العاملين كان هناك اعمال صيانه و اسمع اصوات الشواكيش و الدريلعدم وجود عزل صوت الاثاث جدا قديم ولا يرتقي لمستوي الفندق</t>
  </si>
  <si>
    <t>“مو مثل مااتوقعت”. لم تعجبني قوانين الفندق نحجز غرفه لشخصين بالغين مع طفلين مع فطور بس الفطور يكون للكبار والاطفال ندفع لهم..</t>
  </si>
  <si>
    <t>“5”. بشاشه وحسن وتميز استقبال الموظفين السعوديين بالاستقبال وجوده المطعم. المواقف والتنظيم حول الموقع</t>
  </si>
  <si>
    <t>“دبي”. المناظر داخل الفندق. خدمات الموظفين</t>
  </si>
  <si>
    <t>“توقعاتنا كانت اعلي من مستوي الفندق”. . تاخر موعد استلامنا للغرفه بعد موعر " chick in " حيث تم التواصل مع الطاقم ولا زال التاخير قائم رغم وعودهم بان الغرفه ستجهز خلال دقائق ولكن التاخير استمر الي 3 ساعات. مما ادي لضيقنا من طريقه استجابتهم للموضوع.</t>
  </si>
  <si>
    <t>“ب”. . باقي لي ثلاث ميه درهم تامين مخصومه من الفيزا ولها ١٥ يوم واكثر مارجعت لكي .. وهذي حركتهم مع اغلب اللي سكنو عندهم يعني اللي بيدفع تامين يدفعها كاش عشان ياخذها كاش اذا طلع</t>
  </si>
  <si>
    <t>“الغرفه ضيقه”. . عدم وجود مساحه كافيه في الغرفه بختصار الغرفه ضيقه</t>
  </si>
  <si>
    <t>“مقبول”. . اضائه الغرفه منخفظه جدا.لايوجد خرطوم ماء للمرحاض</t>
  </si>
  <si>
    <t>“مقبول”. . المبالغه في الضرايب باضافه ضريبه تختلف عن ضريبه ال ٢٠٪‏ والغريب يقال لي انه ضريبه لكل غرفه في الشقه ٢٠ درهم حيث اني اسكن اكبر شقه تحتوي علي ٣ غرف نوم يساوي لجميع الغرف ٦٠ درهم 😊</t>
  </si>
  <si>
    <t>“السلام عليكم”. اعجبني الهدو. التكييف سئ جدا الافطار دون المتوسط المواقف قليله</t>
  </si>
  <si>
    <t>“عادي جدا”. المسبح ممتاز جدا حيث يوجد مسبحين واحد حار والثاني بارد ونظافه مستمره ومطعم ايطالي ممتاز جدا. غرفه اللي عندهم ضيق جدا انترنت ضعيف جدا لا يمكن تغطيت منتجع كامل استقبال المطعم بوفيه اخلاق سيئه اعتقد عماله ليباليه او فلبيني</t>
  </si>
  <si>
    <t>“اتمني تغير طاقم خدمه الغرف”. الافطار جيد نوعا مااما بالنسبه للاسره فهي مريحه. لقد اقمنا في الفندق ليلتين وطيل اقامتنا طلبنا بعض الكماليات مثل طاوله كوي ومكوي وتواصلنا مع خدمه الغرف والاستقبال ويعدونا بانها ستصل خلال بضع دقائق وولمتصل حتي المغادره.</t>
  </si>
  <si>
    <t>“القيمه مبالغ فيها”. القيمه مبالغ فيها معني زبون دائم في هل الفندق من 8 سنوات وانا انزل فيه وشكراا. القيمه مبالغ فيها معني زبون دائم في هل الفندق من 8 سنوات وانا انزل فيه وشكراا</t>
  </si>
  <si>
    <t>“فندق غريب”. نظام السكن روعه. نظام الفندق مبالغ فيه في انظمه الفنادق في دبيمبلغ التامين لم يسترد الي الان مع العلم حجزت في فندق اخر ولم ياخذ تامين</t>
  </si>
  <si>
    <t>“يحتاجون اليه عمل جديده وتنظيم”. الهدوء بين الغرف. الفوضي في الاوراق توقع علي الف ورقه مع العلم اني كنت دافع مبلغ تحت الحساب لكي ارتاحتفاجاه اني يجب ان اوقع واحيان يجب ان ادفع الخلاصه استرجعت نصف المبلغ الي تحت الحساب لان المطعم لا يقبل تحويل علي حساب الغرفه الكوي ايضا و و</t>
  </si>
  <si>
    <t>“كنت هناك”. جون اافريقي صعب التعاامل في الفتره المسائيه المفروض صباحي الشفت تبعو عشان الناس تشوفو. عدم احترام الزوار والدخول</t>
  </si>
  <si>
    <t>“اقامه جيده ولا اعتقد انها ستتكرر باذن الله”. اعجبني بالاثاث جديد ،، وسعره جيد. للاسف مافيه عوازل ، ريحته دخان تكتم في اغلب الوقت ، موقعه بعيد من الحرم مشي واجهت صعوبه .</t>
  </si>
  <si>
    <t>“جيد”. . حجزت غرفه لمدخنين وتفاجات اليوم اللي بعده انه موظف الاستقبال يقول لي جارك متضايق مع انه هذي مشكلتهم وقت الحجز موشغلي ومحد قال لهم يسكنوني جمب واحد يكح كل شويه</t>
  </si>
  <si>
    <t>“الخدمه المقدمه لاتساوي المبلغ المدفوع”. الفندق نظيف المناظر جميله. الموظفين بشكل عام التعامل باسلوب لايليق بفندق 5 نجوم وبشكل خاص الموظف عند الاستقبال لم يجد التعامل في تقديم الخدمه</t>
  </si>
  <si>
    <t>“مناسب نوعا ماء”. مظهر الغرفه بشكل عامه. النظافه</t>
  </si>
  <si>
    <t>“مريح”. تعاون الموظفين. لا يوجد غساله ملابسحمام واد في شقه من غرفتين وصالهافياش الكهرباء قديمه لا تدعم الشواحن الجديده</t>
  </si>
  <si>
    <t>“الفندق وسط”. الاطلاله علي البحيره وعلي الابراج. الواي فاي ضعيف جدا جدا عدم المصداقيه كنت حاجز عرفه مطله عن طريق البكنج وعطوني غرفه مطله علي الشارع وبعد ما تبين انه انا حاجز عن طريق البكنج غيرو العرفه الي مطله علي البحيره</t>
  </si>
  <si>
    <t>“جيده لكن لن اكررها”. نظافه الفندق وتصميم الغرفه. في اللوبي بار مكشوف والاصوات الموسيقي عاليه لايصلح للعوائل الخليجيه المحافظه</t>
  </si>
  <si>
    <t>“جيد ويمكن ان يمون افضل”. . مستوي التنظيف ، اخر يوم اصبحت رائحه المكان ييئه بسبب المنشفه المستخدمه لمسح الارضيهايضا المناشف بدورات المياه تبدو مستهلكه</t>
  </si>
  <si>
    <t>“دبي 2014”. الموقع ممتاز. ليست به مرافق تخدم المسافر</t>
  </si>
  <si>
    <t>“اقامه جيده نوعا ما”. . وجود فتيات يترددن علي شباب منظر لا يناسب ان يشاهده الاطفال و وجود عزاب في شقق مفروشه</t>
  </si>
  <si>
    <t>“مقبول عموما بس”. . ديزاين المروش خطا... الماء يسيح من تحت باب المروش عالغرفه..!!</t>
  </si>
  <si>
    <t>“فندق موقعه غلط”. الوايفاي مجانا بالغرف. موقع الفندق بعيد لازم تمشي مسافات بعيده لكل شي</t>
  </si>
  <si>
    <t>“اسعار مبالغ فيها”. الهدوء والنظافه. بصراحه السعر مبالغ فيهايضا جميع الخدمات سعرها مرتفع جدا خصوصا خدمه الغرف</t>
  </si>
  <si>
    <t>“قريب من الحرم والفرش قديم”. قريب من الحرم. اردت التجديد فطلبوا مني نفس السعر لليله السابقه 1050 ريال فقمت بالحجز عن طريق البوكنج بمبلغ 750</t>
  </si>
  <si>
    <t>“لايوجد مرونه في وجود طفل اضافي بالمطعم رغم وفره الاكل ،،”. . يجب خفض الاسعار لان ابواب الحرم التي امام الفندق مغلقه</t>
  </si>
  <si>
    <t>“الموقع جيد مع وجود سوبرماركت وكذلك مغسله ملابس بالمقابل اشاره الدخول للسكن دائما مزحومه”. القرب من الطرق الرئيسيه. اشاره الدخول للسكن دائما زحمه</t>
  </si>
  <si>
    <t>“سامي”. قريب من المحلات. الحمام قديم و المكيف احينا يتوقف عن التبريد</t>
  </si>
  <si>
    <t>“ايجابيات وسلبيات”. الخصوصيه في دخول الفندق عن طريق باركنات الفندق السفليه. الانتظار الطويل في حال الرجوع للفندق في وقت متاخر من الليل لدخول الباركنات السفليه لعدم وجود رجل الامن الذي يفتح البوابه .</t>
  </si>
  <si>
    <t>“الخدمه غير متوقعه”. الموقع ممتاز جدا. صغر الغرفه ودورات المياهوضعف مستوي الخدمه</t>
  </si>
  <si>
    <t>“جيد”. التكوولوجي. لا يوجد خصوصيه</t>
  </si>
  <si>
    <t>“موفينبيك في عطله العيد”. الموقع والسوق المجاور. صعوبه التوصيل من والي الفدق وليس هناك خدمات توصيل داخليه بالفندق لمن ترك سيارته في مكه عند الوصول للاقامه رغم الحجز المسبق المطعم مزدحم ولايكفي في الفطور لكل الزوار ولايوجد غير مطعم واحد يعمل بالفندق</t>
  </si>
  <si>
    <t>“الموقع فقط”. موقعه بجانب الحرم وقريب لمدخل النساءوالواي فاي مجاني. المواقف ليست مجانيه و المصاعد وقت الصلاه تاخذ وقت طويل حتي تركب فيها من كثره الزحام السعر في وقت الزحام غالي وجرس الحريق يشتغل في اوقات تزعجك من نومك بدون اي سبب</t>
  </si>
  <si>
    <t>“فندق عادي جدا”. تعامل الموظفين جدا رائع. رائحه الصرف الصحي في دوره المياه اعزكم الله</t>
  </si>
  <si>
    <t>“يجب تغيير طاقم الاستقبال”. اعجبني الموقع. لم يعجبني معامله موظفي الاستقبال خلال تسجيل الدخول والخروج</t>
  </si>
  <si>
    <t>“هناك تاخير من الاستقبال عند الدخول”. الموقع.</t>
  </si>
  <si>
    <t>“مسافر ترانزيت”. سرعه الشك ان والشك اوت. المطار خارج منطقه الترانزيت</t>
  </si>
  <si>
    <t>“مقبول الي حد ما”. النظافهقربه من المطاروقوعه علي شارع الشيخ زايدواجهته الخلفيه مطله علي الخليج ولو من بعيدفخامته. موظف الاستقبال المصري " رامي " سيء ويتكلم بعنجهيه ويحاول رفع السعر بشتي الطرق، بينما يبذل طاقم الاستقبال الاخرون كل ما في وسعهم لخدمه النزيل. ارتفاع السعر مقابل الخدمهموظفو صف السيارات يتاخرون كثيرا في تحريك السيارات من امام بوابه الفندق.</t>
  </si>
  <si>
    <t>“السعر مرتفع”. . السعر لا يتناسب مع الفئه</t>
  </si>
  <si>
    <t>“مقبول الي حد ماء”. النظافه جيدهالباص الناقل للحرمتعامل موظفي الاستقبال. الواي فاي سئازعاج الاطفال في الممرات لا يوجد خدمه غسيل وكي الملابسقنوات التلفزيون محدوده للغايه</t>
  </si>
  <si>
    <t>“لايوجد خدمه غسيل ملابس مستعجل”. موقع الفندق قربه من مستشفي العيون. لايوجد خدمه غسيل للملابس المستعجلهاخذون منك الملابس من الساعه 8 صباحا حتي 5 عصرا فقط</t>
  </si>
  <si>
    <t>“جيد ولكن بالامكان احسن مما كان”. . وصول السيارات الي مدخل الفندق.لم تتم الاستفاده من اطلاله الفندق علي البحر بتصميم بلكونه او شرفه لكل غرفه او جناح.</t>
  </si>
  <si>
    <t>“لا باس به”. . يوجد فنادق بالخبر تم تجربتها ارخص وافضل</t>
  </si>
  <si>
    <t>“كنت اتمني ان اجد فندق ومنتجع راديسون بلو المشهور افضل من ما وجدته”. الافطار جيد جداالشاطيء ممتاز. التاخير في تجهيز الغرف رغم حجزي بواسطه BOOKingايضا السرير غير مريحايضا حجزت غرفه بسرير مزدوج وبقيمه اعلي من غرفه بسريرين منفردين ولكن لم يوفر لي سوي غرفه بسريرين منفردين وتم احتسابها بقيمه الغرفه ذات السرير المزدوجايضا توجد في الغرف كثير من النواقص مثل سجاده صلاه وادوات الحمام</t>
  </si>
  <si>
    <t>“السعر مبالغ فيه”. . السعر لا يتناسب مع الغرف جدا عاديه وتحتاج تطوير</t>
  </si>
  <si>
    <t>“موقعه ممتاز”. يمنع دخول الزوار و متشددين. النت مش كويسلا يقع علي شارع زايد علي طول لكن خلفه بشارع فقط يعني داخل الحي</t>
  </si>
  <si>
    <t>“الفندق نوعا ما جيد بالنسبه الا السعر انصح به”. . المغسله لا تصرف الماء</t>
  </si>
  <si>
    <t>“لا باس”. الموقع قريب من كل شي. الغرف صغيره. والنت كل يوم ب ٢٥ درهم</t>
  </si>
  <si>
    <t>“الموقع جميل ولكن المنطقه مزحومه وتعتبر مزعجه الي حد ما”. الاستقبال من خارج الفندق الي داخله ممتاز. المسافات بين الفندق والمرافق طويله</t>
  </si>
  <si>
    <t>“رحله جميله”. الهدوء والافطار المجاني. مويا مالحهالاثاث والفرش قديم</t>
  </si>
  <si>
    <t>“مقبول نوعا ما”. السرير حق ابو نفر واحد كبيرر والموقع ممتاز. الانترنت بفلوس</t>
  </si>
  <si>
    <t>“دبي”. . كنا في 3 اجنحه جونيور وهي كبيره وفيها 4 بالغين اضافيين والذي لم يعجبني حقا اننا دفعنا للفطور عنهم كلهم... المال غير مهم و لكن الاسلوب و الطريقه لم تعجبنا بالاضافه الي اننا لسنا من النوع الذي ياكل بنهم.. فلم تعجبني هذه الحركه و اول مره تحصل معنا في اسفارنا !!</t>
  </si>
  <si>
    <t>“منتجع لو ميرديان واحه من الجنه”. . الفندق خصم مبلغ 11 الف درهم من حسابي تحت حساب الاقامه وعند الخروج تم احتساب قيمه الفاتوره ب 7506 درهم وللحين وبعد مرور 4 ايام من مغادرتي الفندق لم يتم اعاده باقي 11 الف درهم لحسابي و قد ارسلت ايميل بذلك واتصلت ولكن بدون استجابه وشكرا</t>
  </si>
  <si>
    <t>“بوفيه الافطار في رمضان جدا سيء وسعره بالنسبه للخدمه مرتفع جدا”. . الافطار</t>
  </si>
  <si>
    <t>“رحله الويكند”. . خدمه الاكل وجودتها ليست بالمستوي المطلوب والجيد ووجود اصن صير واحد وصغير</t>
  </si>
  <si>
    <t>“الموقع جيد”. الغرف كبيره. رائحه التدخين في الاستقبال منتشره بشكل كبير</t>
  </si>
  <si>
    <t>“شكرا”. . صعوبه ايجاد الغرفه من سوء تخطيط الفندق</t>
  </si>
  <si>
    <t>“لايعرف هذا الفندق سائقون التاكسي”. التعامل الجميل من طاقم العمل في كافه المجالات ارجاء الفندق. الحمام ضيق لدرجه انه خانق ولا يمكن استخدامه، ،، وعدم نظافه الغرفه منذ دخولي وحتي خروجي من الفندق</t>
  </si>
  <si>
    <t>“جيده نوعا ما”. لذيذ ولكن غير متنوع. الثلاجه لم تكن تعمل وقفل الباب مكسور واستغرق اصلاح الثلاجه اكثر من 24 ساعه</t>
  </si>
  <si>
    <t>“متعه + الرتحه”. فساحه الغرف. البطئ في تقديم الخدمات</t>
  </si>
  <si>
    <t>“غرفه صغير”. . لم يعجبني حجم الغرفه مع اني حجزت علي اساس ٣ كبار و٢ صغار لكن حجم الغرفه صغير والكنبه فتحت لتصبح سرير وكانت غير مريحه للاطفال</t>
  </si>
  <si>
    <t>“مستوي الاقامه عامتا دون السعر المطلوب”. النظافه و الهدوء. المطبخ ليس مزود بالاغراض الاساسيه للمطابخطلبت اقامه لسته اشخاص بالغين و عند الوصول اكتشفه انها لخمس اشخاص كحد اقصي</t>
  </si>
  <si>
    <t>“يحب فلوس التامين و عدم اعادتها”. . سحب مال التامين و عدم اعادتها</t>
  </si>
  <si>
    <t>“جيد”. . الاستقبال</t>
  </si>
  <si>
    <t>COUNT</t>
  </si>
  <si>
    <t>This is the percentage that narrtor 1 believes that it is noise (mislabeled as Positive, where it should be Negative)</t>
  </si>
  <si>
    <t>This is the percentage that narrtor 2 believes that it is noise (mislabeled as Positive, where it should be Negative)</t>
  </si>
  <si>
    <t>This is the percentage that both narrotors believe that it is noise  (mislabeled as Positive, where it should be Negative)</t>
  </si>
  <si>
    <t>AND</t>
  </si>
  <si>
    <t>Narrator 1 Noise % (FN)</t>
  </si>
  <si>
    <t>Narrator 2 Noise % (FN)</t>
  </si>
  <si>
    <t>Narrotors Agrrement Noise % (FN)</t>
  </si>
  <si>
    <t>Precentage</t>
  </si>
  <si>
    <t>Count</t>
  </si>
  <si>
    <t>Disagreement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</si>
</sst>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16" fillId="0" borderId="0" xfId="0" applyFont="1" applyAlignment="1">
      <alignment horizontal="center"/>
    </xf>
    <xf numFmtId="0" fontId="16" fillId="3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6BAF-C792-431C-90E4-A251F1B530BE}">
  <dimension ref="A1:K152"/>
  <sheetViews>
    <sheetView tabSelected="1" topLeftCell="A118" workbookViewId="0">
      <selection activeCell="M140" sqref="M140"/>
    </sheetView>
  </sheetViews>
  <sheetFormatPr defaultRowHeight="14.4" x14ac:dyDescent="0.3"/>
  <cols>
    <col min="2" max="2" width="30" customWidth="1"/>
    <col min="3" max="3" width="10.109375" customWidth="1"/>
    <col min="8" max="9" width="14.33203125" bestFit="1" customWidth="1"/>
    <col min="11" max="11" width="12.5546875" bestFit="1" customWidth="1"/>
  </cols>
  <sheetData>
    <row r="1" spans="1:11" x14ac:dyDescent="0.3">
      <c r="A1" s="2" t="s">
        <v>0</v>
      </c>
      <c r="B1" s="2" t="s">
        <v>1</v>
      </c>
      <c r="C1" s="2" t="s">
        <v>2</v>
      </c>
      <c r="D1" s="2" t="s">
        <v>3</v>
      </c>
      <c r="E1" s="2" t="s">
        <v>4</v>
      </c>
      <c r="F1" s="2" t="s">
        <v>5</v>
      </c>
      <c r="G1" s="2" t="s">
        <v>6</v>
      </c>
      <c r="H1" s="2" t="s">
        <v>7</v>
      </c>
      <c r="I1" s="2" t="s">
        <v>8</v>
      </c>
      <c r="J1" s="2" t="s">
        <v>156</v>
      </c>
      <c r="K1" s="2" t="s">
        <v>162</v>
      </c>
    </row>
    <row r="2" spans="1:11" x14ac:dyDescent="0.3">
      <c r="A2">
        <v>10423</v>
      </c>
      <c r="B2" t="s">
        <v>9</v>
      </c>
      <c r="C2" t="s">
        <v>10</v>
      </c>
      <c r="D2" t="s">
        <v>11</v>
      </c>
      <c r="E2">
        <v>0.99986648600000005</v>
      </c>
      <c r="F2">
        <v>0.99986648600000005</v>
      </c>
      <c r="G2">
        <v>1.33478E-4</v>
      </c>
      <c r="H2" t="b">
        <v>1</v>
      </c>
      <c r="I2" t="b">
        <v>1</v>
      </c>
      <c r="J2" t="b">
        <f>AND(H2:I2)</f>
        <v>1</v>
      </c>
      <c r="K2" t="b">
        <f>NOT(H2=I2)</f>
        <v>0</v>
      </c>
    </row>
    <row r="3" spans="1:11" x14ac:dyDescent="0.3">
      <c r="A3">
        <v>6290</v>
      </c>
      <c r="B3" t="s">
        <v>12</v>
      </c>
      <c r="C3" t="s">
        <v>10</v>
      </c>
      <c r="D3" t="s">
        <v>11</v>
      </c>
      <c r="E3">
        <v>0.99971657999999997</v>
      </c>
      <c r="F3">
        <v>0.99971657999999997</v>
      </c>
      <c r="G3">
        <v>2.8341199999999998E-4</v>
      </c>
      <c r="H3" t="b">
        <v>1</v>
      </c>
      <c r="I3" t="b">
        <v>1</v>
      </c>
      <c r="J3" t="b">
        <f t="shared" ref="J3:J66" si="0">AND(H3:I3)</f>
        <v>1</v>
      </c>
      <c r="K3" t="b">
        <f t="shared" ref="K3:K66" si="1">NOT(H3=I3)</f>
        <v>0</v>
      </c>
    </row>
    <row r="4" spans="1:11" x14ac:dyDescent="0.3">
      <c r="A4">
        <v>5000</v>
      </c>
      <c r="B4" t="s">
        <v>13</v>
      </c>
      <c r="C4" t="s">
        <v>10</v>
      </c>
      <c r="D4" t="s">
        <v>11</v>
      </c>
      <c r="E4">
        <v>0.99955242899999996</v>
      </c>
      <c r="F4">
        <v>0.99955242899999996</v>
      </c>
      <c r="G4">
        <v>4.4752700000000003E-4</v>
      </c>
      <c r="H4" t="b">
        <v>1</v>
      </c>
      <c r="I4" t="b">
        <v>1</v>
      </c>
      <c r="J4" t="b">
        <f t="shared" si="0"/>
        <v>1</v>
      </c>
      <c r="K4" t="b">
        <f t="shared" si="1"/>
        <v>0</v>
      </c>
    </row>
    <row r="5" spans="1:11" x14ac:dyDescent="0.3">
      <c r="A5">
        <v>9649</v>
      </c>
      <c r="B5" t="s">
        <v>14</v>
      </c>
      <c r="C5" t="s">
        <v>10</v>
      </c>
      <c r="D5" t="s">
        <v>11</v>
      </c>
      <c r="E5">
        <v>0.999361575</v>
      </c>
      <c r="F5">
        <v>0.999361575</v>
      </c>
      <c r="G5">
        <v>6.38475E-4</v>
      </c>
      <c r="H5" t="b">
        <v>1</v>
      </c>
      <c r="I5" t="b">
        <v>1</v>
      </c>
      <c r="J5" t="b">
        <f t="shared" si="0"/>
        <v>1</v>
      </c>
      <c r="K5" t="b">
        <f t="shared" si="1"/>
        <v>0</v>
      </c>
    </row>
    <row r="6" spans="1:11" x14ac:dyDescent="0.3">
      <c r="A6">
        <v>9341</v>
      </c>
      <c r="B6" t="s">
        <v>15</v>
      </c>
      <c r="C6" t="s">
        <v>10</v>
      </c>
      <c r="D6" t="s">
        <v>11</v>
      </c>
      <c r="E6">
        <v>0.99933427600000002</v>
      </c>
      <c r="F6">
        <v>0.99933427600000002</v>
      </c>
      <c r="G6">
        <v>6.6569700000000003E-4</v>
      </c>
      <c r="H6" t="b">
        <v>1</v>
      </c>
      <c r="I6" t="b">
        <v>0</v>
      </c>
      <c r="J6" t="b">
        <f t="shared" si="0"/>
        <v>0</v>
      </c>
      <c r="K6" t="b">
        <f t="shared" si="1"/>
        <v>1</v>
      </c>
    </row>
    <row r="7" spans="1:11" x14ac:dyDescent="0.3">
      <c r="A7">
        <v>9350</v>
      </c>
      <c r="B7" t="s">
        <v>16</v>
      </c>
      <c r="C7" t="s">
        <v>10</v>
      </c>
      <c r="D7" t="s">
        <v>11</v>
      </c>
      <c r="E7">
        <v>0.99905747199999995</v>
      </c>
      <c r="F7">
        <v>0.99905747199999995</v>
      </c>
      <c r="G7">
        <v>9.4253399999999997E-4</v>
      </c>
      <c r="H7" t="b">
        <v>1</v>
      </c>
      <c r="I7" t="b">
        <v>1</v>
      </c>
      <c r="J7" t="b">
        <f t="shared" si="0"/>
        <v>1</v>
      </c>
      <c r="K7" t="b">
        <f t="shared" si="1"/>
        <v>0</v>
      </c>
    </row>
    <row r="8" spans="1:11" x14ac:dyDescent="0.3">
      <c r="A8">
        <v>4426</v>
      </c>
      <c r="B8" t="s">
        <v>17</v>
      </c>
      <c r="C8" t="s">
        <v>10</v>
      </c>
      <c r="D8" t="s">
        <v>11</v>
      </c>
      <c r="E8">
        <v>0.99899369500000001</v>
      </c>
      <c r="F8">
        <v>0.99899369500000001</v>
      </c>
      <c r="G8">
        <v>1.0063170000000001E-3</v>
      </c>
      <c r="H8" t="b">
        <v>1</v>
      </c>
      <c r="I8" t="b">
        <v>1</v>
      </c>
      <c r="J8" t="b">
        <f t="shared" si="0"/>
        <v>1</v>
      </c>
      <c r="K8" t="b">
        <f t="shared" si="1"/>
        <v>0</v>
      </c>
    </row>
    <row r="9" spans="1:11" x14ac:dyDescent="0.3">
      <c r="A9">
        <v>4687</v>
      </c>
      <c r="B9" t="s">
        <v>18</v>
      </c>
      <c r="C9" t="s">
        <v>10</v>
      </c>
      <c r="D9" t="s">
        <v>11</v>
      </c>
      <c r="E9">
        <v>0.998987615</v>
      </c>
      <c r="F9">
        <v>0.998987615</v>
      </c>
      <c r="G9">
        <v>1.0123129999999999E-3</v>
      </c>
      <c r="H9" t="b">
        <v>0</v>
      </c>
      <c r="I9" t="b">
        <v>0</v>
      </c>
      <c r="J9" t="b">
        <f t="shared" si="0"/>
        <v>0</v>
      </c>
      <c r="K9" t="b">
        <f t="shared" si="1"/>
        <v>0</v>
      </c>
    </row>
    <row r="10" spans="1:11" x14ac:dyDescent="0.3">
      <c r="A10">
        <v>6108</v>
      </c>
      <c r="B10" t="s">
        <v>19</v>
      </c>
      <c r="C10" t="s">
        <v>10</v>
      </c>
      <c r="D10" t="s">
        <v>11</v>
      </c>
      <c r="E10">
        <v>0.99827742600000002</v>
      </c>
      <c r="F10">
        <v>0.99827742600000002</v>
      </c>
      <c r="G10">
        <v>1.722536E-3</v>
      </c>
      <c r="H10" t="b">
        <v>1</v>
      </c>
      <c r="I10" t="b">
        <v>0</v>
      </c>
      <c r="J10" t="b">
        <f t="shared" si="0"/>
        <v>0</v>
      </c>
      <c r="K10" t="b">
        <f t="shared" si="1"/>
        <v>1</v>
      </c>
    </row>
    <row r="11" spans="1:11" x14ac:dyDescent="0.3">
      <c r="A11">
        <v>711</v>
      </c>
      <c r="B11" t="s">
        <v>20</v>
      </c>
      <c r="C11" t="s">
        <v>10</v>
      </c>
      <c r="D11" t="s">
        <v>11</v>
      </c>
      <c r="E11">
        <v>0.99819928400000002</v>
      </c>
      <c r="F11">
        <v>0.99819928400000002</v>
      </c>
      <c r="G11">
        <v>1.800687E-3</v>
      </c>
      <c r="H11" t="b">
        <v>0</v>
      </c>
      <c r="I11" t="b">
        <v>0</v>
      </c>
      <c r="J11" t="b">
        <f t="shared" si="0"/>
        <v>0</v>
      </c>
      <c r="K11" t="b">
        <f t="shared" si="1"/>
        <v>0</v>
      </c>
    </row>
    <row r="12" spans="1:11" x14ac:dyDescent="0.3">
      <c r="A12">
        <v>2805</v>
      </c>
      <c r="B12" t="s">
        <v>21</v>
      </c>
      <c r="C12" t="s">
        <v>10</v>
      </c>
      <c r="D12" t="s">
        <v>11</v>
      </c>
      <c r="E12">
        <v>0.99810779100000002</v>
      </c>
      <c r="F12">
        <v>0.99810779100000002</v>
      </c>
      <c r="G12">
        <v>1.892213E-3</v>
      </c>
      <c r="H12" t="b">
        <v>1</v>
      </c>
      <c r="I12" t="b">
        <v>1</v>
      </c>
      <c r="J12" t="b">
        <f t="shared" si="0"/>
        <v>1</v>
      </c>
      <c r="K12" t="b">
        <f t="shared" si="1"/>
        <v>0</v>
      </c>
    </row>
    <row r="13" spans="1:11" x14ac:dyDescent="0.3">
      <c r="A13">
        <v>2439</v>
      </c>
      <c r="B13" t="s">
        <v>22</v>
      </c>
      <c r="C13" t="s">
        <v>10</v>
      </c>
      <c r="D13" t="s">
        <v>11</v>
      </c>
      <c r="E13">
        <v>0.99806040500000004</v>
      </c>
      <c r="F13">
        <v>0.99806040500000004</v>
      </c>
      <c r="G13">
        <v>1.9396109999999999E-3</v>
      </c>
      <c r="H13" t="b">
        <v>1</v>
      </c>
      <c r="I13" t="b">
        <v>1</v>
      </c>
      <c r="J13" t="b">
        <f t="shared" si="0"/>
        <v>1</v>
      </c>
      <c r="K13" t="b">
        <f t="shared" si="1"/>
        <v>0</v>
      </c>
    </row>
    <row r="14" spans="1:11" x14ac:dyDescent="0.3">
      <c r="A14">
        <v>3182</v>
      </c>
      <c r="B14" t="s">
        <v>23</v>
      </c>
      <c r="C14" t="s">
        <v>10</v>
      </c>
      <c r="D14" t="s">
        <v>11</v>
      </c>
      <c r="E14">
        <v>0.99802303299999995</v>
      </c>
      <c r="F14">
        <v>0.99802303299999995</v>
      </c>
      <c r="G14">
        <v>1.9769499999999999E-3</v>
      </c>
      <c r="H14" t="b">
        <v>1</v>
      </c>
      <c r="I14" t="b">
        <v>0</v>
      </c>
      <c r="J14" t="b">
        <f t="shared" si="0"/>
        <v>0</v>
      </c>
      <c r="K14" t="b">
        <f t="shared" si="1"/>
        <v>1</v>
      </c>
    </row>
    <row r="15" spans="1:11" x14ac:dyDescent="0.3">
      <c r="A15">
        <v>9029</v>
      </c>
      <c r="B15" t="s">
        <v>24</v>
      </c>
      <c r="C15" t="s">
        <v>10</v>
      </c>
      <c r="D15" t="s">
        <v>11</v>
      </c>
      <c r="E15">
        <v>0.99780195999999999</v>
      </c>
      <c r="F15">
        <v>0.99780195999999999</v>
      </c>
      <c r="G15">
        <v>2.198017E-3</v>
      </c>
      <c r="H15" t="b">
        <v>1</v>
      </c>
      <c r="I15" t="b">
        <v>0</v>
      </c>
      <c r="J15" t="b">
        <f t="shared" si="0"/>
        <v>0</v>
      </c>
      <c r="K15" t="b">
        <f t="shared" si="1"/>
        <v>1</v>
      </c>
    </row>
    <row r="16" spans="1:11" x14ac:dyDescent="0.3">
      <c r="A16">
        <v>10479</v>
      </c>
      <c r="B16" t="s">
        <v>25</v>
      </c>
      <c r="C16" t="s">
        <v>10</v>
      </c>
      <c r="D16" t="s">
        <v>11</v>
      </c>
      <c r="E16">
        <v>0.99774336799999996</v>
      </c>
      <c r="F16">
        <v>0.99774336799999996</v>
      </c>
      <c r="G16">
        <v>2.2566349999999999E-3</v>
      </c>
      <c r="H16" t="b">
        <v>1</v>
      </c>
      <c r="I16" t="b">
        <v>1</v>
      </c>
      <c r="J16" t="b">
        <f t="shared" si="0"/>
        <v>1</v>
      </c>
      <c r="K16" t="b">
        <f t="shared" si="1"/>
        <v>0</v>
      </c>
    </row>
    <row r="17" spans="1:11" x14ac:dyDescent="0.3">
      <c r="A17">
        <v>8371</v>
      </c>
      <c r="B17" t="s">
        <v>26</v>
      </c>
      <c r="C17" t="s">
        <v>10</v>
      </c>
      <c r="D17" t="s">
        <v>11</v>
      </c>
      <c r="E17">
        <v>0.99769055799999995</v>
      </c>
      <c r="F17">
        <v>0.99769055799999995</v>
      </c>
      <c r="G17">
        <v>2.3094320000000002E-3</v>
      </c>
      <c r="H17" t="b">
        <v>1</v>
      </c>
      <c r="I17" t="b">
        <v>1</v>
      </c>
      <c r="J17" t="b">
        <f t="shared" si="0"/>
        <v>1</v>
      </c>
      <c r="K17" t="b">
        <f t="shared" si="1"/>
        <v>0</v>
      </c>
    </row>
    <row r="18" spans="1:11" x14ac:dyDescent="0.3">
      <c r="A18">
        <v>8429</v>
      </c>
      <c r="B18" t="s">
        <v>27</v>
      </c>
      <c r="C18" t="s">
        <v>10</v>
      </c>
      <c r="D18" t="s">
        <v>11</v>
      </c>
      <c r="E18">
        <v>0.99766349799999998</v>
      </c>
      <c r="F18">
        <v>0.99766349799999998</v>
      </c>
      <c r="G18">
        <v>2.336543E-3</v>
      </c>
      <c r="H18" t="b">
        <v>1</v>
      </c>
      <c r="I18" t="b">
        <v>0</v>
      </c>
      <c r="J18" t="b">
        <f t="shared" si="0"/>
        <v>0</v>
      </c>
      <c r="K18" t="b">
        <f t="shared" si="1"/>
        <v>1</v>
      </c>
    </row>
    <row r="19" spans="1:11" x14ac:dyDescent="0.3">
      <c r="A19">
        <v>4999</v>
      </c>
      <c r="B19" t="s">
        <v>28</v>
      </c>
      <c r="C19" t="s">
        <v>10</v>
      </c>
      <c r="D19" t="s">
        <v>11</v>
      </c>
      <c r="E19">
        <v>0.99765837199999996</v>
      </c>
      <c r="F19">
        <v>0.99765837199999996</v>
      </c>
      <c r="G19">
        <v>2.3416000000000001E-3</v>
      </c>
      <c r="H19" t="b">
        <v>1</v>
      </c>
      <c r="I19" t="b">
        <v>1</v>
      </c>
      <c r="J19" t="b">
        <f t="shared" si="0"/>
        <v>1</v>
      </c>
      <c r="K19" t="b">
        <f t="shared" si="1"/>
        <v>0</v>
      </c>
    </row>
    <row r="20" spans="1:11" x14ac:dyDescent="0.3">
      <c r="A20">
        <v>8009</v>
      </c>
      <c r="B20" t="s">
        <v>29</v>
      </c>
      <c r="C20" t="s">
        <v>10</v>
      </c>
      <c r="D20" t="s">
        <v>11</v>
      </c>
      <c r="E20">
        <v>0.99752896999999996</v>
      </c>
      <c r="F20">
        <v>0.99752896999999996</v>
      </c>
      <c r="G20">
        <v>2.4710079999999998E-3</v>
      </c>
      <c r="H20" t="b">
        <v>1</v>
      </c>
      <c r="I20" t="b">
        <v>0</v>
      </c>
      <c r="J20" t="b">
        <f t="shared" si="0"/>
        <v>0</v>
      </c>
      <c r="K20" t="b">
        <f t="shared" si="1"/>
        <v>1</v>
      </c>
    </row>
    <row r="21" spans="1:11" x14ac:dyDescent="0.3">
      <c r="A21">
        <v>10366</v>
      </c>
      <c r="B21" t="s">
        <v>30</v>
      </c>
      <c r="C21" t="s">
        <v>10</v>
      </c>
      <c r="D21" t="s">
        <v>11</v>
      </c>
      <c r="E21">
        <v>0.99747461100000001</v>
      </c>
      <c r="F21">
        <v>0.99747461100000001</v>
      </c>
      <c r="G21">
        <v>2.5254079999999998E-3</v>
      </c>
      <c r="H21" t="b">
        <v>1</v>
      </c>
      <c r="I21" t="b">
        <v>1</v>
      </c>
      <c r="J21" t="b">
        <f t="shared" si="0"/>
        <v>1</v>
      </c>
      <c r="K21" t="b">
        <f t="shared" si="1"/>
        <v>0</v>
      </c>
    </row>
    <row r="22" spans="1:11" x14ac:dyDescent="0.3">
      <c r="A22">
        <v>8098</v>
      </c>
      <c r="B22" t="s">
        <v>31</v>
      </c>
      <c r="C22" t="s">
        <v>10</v>
      </c>
      <c r="D22" t="s">
        <v>11</v>
      </c>
      <c r="E22">
        <v>0.99738460799999995</v>
      </c>
      <c r="F22">
        <v>0.99738460799999995</v>
      </c>
      <c r="G22">
        <v>2.615446E-3</v>
      </c>
      <c r="H22" t="b">
        <v>1</v>
      </c>
      <c r="I22" t="b">
        <v>1</v>
      </c>
      <c r="J22" t="b">
        <f t="shared" si="0"/>
        <v>1</v>
      </c>
      <c r="K22" t="b">
        <f t="shared" si="1"/>
        <v>0</v>
      </c>
    </row>
    <row r="23" spans="1:11" x14ac:dyDescent="0.3">
      <c r="A23">
        <v>810</v>
      </c>
      <c r="B23" t="s">
        <v>32</v>
      </c>
      <c r="C23" t="s">
        <v>10</v>
      </c>
      <c r="D23" t="s">
        <v>11</v>
      </c>
      <c r="E23">
        <v>0.99716430899999997</v>
      </c>
      <c r="F23">
        <v>0.99716430899999997</v>
      </c>
      <c r="G23">
        <v>2.835667E-3</v>
      </c>
      <c r="H23" t="b">
        <v>1</v>
      </c>
      <c r="I23" t="b">
        <v>1</v>
      </c>
      <c r="J23" t="b">
        <f t="shared" si="0"/>
        <v>1</v>
      </c>
      <c r="K23" t="b">
        <f t="shared" si="1"/>
        <v>0</v>
      </c>
    </row>
    <row r="24" spans="1:11" x14ac:dyDescent="0.3">
      <c r="A24">
        <v>6061</v>
      </c>
      <c r="B24" t="s">
        <v>33</v>
      </c>
      <c r="C24" t="s">
        <v>10</v>
      </c>
      <c r="D24" t="s">
        <v>11</v>
      </c>
      <c r="E24">
        <v>0.99715638200000001</v>
      </c>
      <c r="F24">
        <v>0.99715638200000001</v>
      </c>
      <c r="G24">
        <v>2.843576E-3</v>
      </c>
      <c r="H24" t="b">
        <v>1</v>
      </c>
      <c r="I24" t="b">
        <v>0</v>
      </c>
      <c r="J24" t="b">
        <f t="shared" si="0"/>
        <v>0</v>
      </c>
      <c r="K24" t="b">
        <f t="shared" si="1"/>
        <v>1</v>
      </c>
    </row>
    <row r="25" spans="1:11" x14ac:dyDescent="0.3">
      <c r="A25">
        <v>6463</v>
      </c>
      <c r="B25" t="s">
        <v>34</v>
      </c>
      <c r="C25" t="s">
        <v>10</v>
      </c>
      <c r="D25" t="s">
        <v>11</v>
      </c>
      <c r="E25">
        <v>0.99667155699999999</v>
      </c>
      <c r="F25">
        <v>0.99667155699999999</v>
      </c>
      <c r="G25">
        <v>3.3284170000000002E-3</v>
      </c>
      <c r="H25" t="b">
        <v>0</v>
      </c>
      <c r="I25" t="b">
        <v>0</v>
      </c>
      <c r="J25" t="b">
        <f t="shared" si="0"/>
        <v>0</v>
      </c>
      <c r="K25" t="b">
        <f t="shared" si="1"/>
        <v>0</v>
      </c>
    </row>
    <row r="26" spans="1:11" x14ac:dyDescent="0.3">
      <c r="A26">
        <v>8342</v>
      </c>
      <c r="B26" t="s">
        <v>35</v>
      </c>
      <c r="C26" t="s">
        <v>10</v>
      </c>
      <c r="D26" t="s">
        <v>11</v>
      </c>
      <c r="E26">
        <v>0.99666792199999998</v>
      </c>
      <c r="F26">
        <v>0.99666792199999998</v>
      </c>
      <c r="G26">
        <v>3.3320540000000001E-3</v>
      </c>
      <c r="H26" t="b">
        <v>1</v>
      </c>
      <c r="I26" t="b">
        <v>0</v>
      </c>
      <c r="J26" t="b">
        <f t="shared" si="0"/>
        <v>0</v>
      </c>
      <c r="K26" t="b">
        <f t="shared" si="1"/>
        <v>1</v>
      </c>
    </row>
    <row r="27" spans="1:11" x14ac:dyDescent="0.3">
      <c r="A27">
        <v>1488</v>
      </c>
      <c r="B27" t="s">
        <v>36</v>
      </c>
      <c r="C27" t="s">
        <v>10</v>
      </c>
      <c r="D27" t="s">
        <v>11</v>
      </c>
      <c r="E27">
        <v>0.99646496799999995</v>
      </c>
      <c r="F27">
        <v>0.99646496799999995</v>
      </c>
      <c r="G27">
        <v>3.5349769999999999E-3</v>
      </c>
      <c r="H27" t="b">
        <v>0</v>
      </c>
      <c r="I27" t="b">
        <v>0</v>
      </c>
      <c r="J27" t="b">
        <f t="shared" si="0"/>
        <v>0</v>
      </c>
      <c r="K27" t="b">
        <f t="shared" si="1"/>
        <v>0</v>
      </c>
    </row>
    <row r="28" spans="1:11" x14ac:dyDescent="0.3">
      <c r="A28">
        <v>3213</v>
      </c>
      <c r="B28" t="s">
        <v>37</v>
      </c>
      <c r="C28" t="s">
        <v>10</v>
      </c>
      <c r="D28" t="s">
        <v>11</v>
      </c>
      <c r="E28">
        <v>0.99638557400000005</v>
      </c>
      <c r="F28">
        <v>0.99638557400000005</v>
      </c>
      <c r="G28">
        <v>3.614431E-3</v>
      </c>
      <c r="H28" t="b">
        <v>0</v>
      </c>
      <c r="I28" t="b">
        <v>0</v>
      </c>
      <c r="J28" t="b">
        <f t="shared" si="0"/>
        <v>0</v>
      </c>
      <c r="K28" t="b">
        <f t="shared" si="1"/>
        <v>0</v>
      </c>
    </row>
    <row r="29" spans="1:11" x14ac:dyDescent="0.3">
      <c r="A29">
        <v>7102</v>
      </c>
      <c r="B29" t="s">
        <v>38</v>
      </c>
      <c r="C29" t="s">
        <v>10</v>
      </c>
      <c r="D29" t="s">
        <v>11</v>
      </c>
      <c r="E29">
        <v>0.99626922600000001</v>
      </c>
      <c r="F29">
        <v>0.99626922600000001</v>
      </c>
      <c r="G29">
        <v>3.730779E-3</v>
      </c>
      <c r="H29" t="b">
        <v>1</v>
      </c>
      <c r="I29" t="b">
        <v>0</v>
      </c>
      <c r="J29" t="b">
        <f t="shared" si="0"/>
        <v>0</v>
      </c>
      <c r="K29" t="b">
        <f t="shared" si="1"/>
        <v>1</v>
      </c>
    </row>
    <row r="30" spans="1:11" x14ac:dyDescent="0.3">
      <c r="A30">
        <v>464</v>
      </c>
      <c r="B30" t="s">
        <v>39</v>
      </c>
      <c r="C30" t="s">
        <v>10</v>
      </c>
      <c r="D30" t="s">
        <v>11</v>
      </c>
      <c r="E30">
        <v>0.996161819</v>
      </c>
      <c r="F30">
        <v>0.996161819</v>
      </c>
      <c r="G30">
        <v>3.8382260000000001E-3</v>
      </c>
      <c r="H30" t="b">
        <v>0</v>
      </c>
      <c r="I30" t="b">
        <v>1</v>
      </c>
      <c r="J30" t="b">
        <f t="shared" si="0"/>
        <v>0</v>
      </c>
      <c r="K30" t="b">
        <f t="shared" si="1"/>
        <v>1</v>
      </c>
    </row>
    <row r="31" spans="1:11" x14ac:dyDescent="0.3">
      <c r="A31">
        <v>6055</v>
      </c>
      <c r="B31" t="s">
        <v>40</v>
      </c>
      <c r="C31" t="s">
        <v>10</v>
      </c>
      <c r="D31" t="s">
        <v>11</v>
      </c>
      <c r="E31">
        <v>0.996117115</v>
      </c>
      <c r="F31">
        <v>0.996117115</v>
      </c>
      <c r="G31">
        <v>3.882922E-3</v>
      </c>
      <c r="H31" t="b">
        <v>1</v>
      </c>
      <c r="I31" t="b">
        <v>1</v>
      </c>
      <c r="J31" t="b">
        <f t="shared" si="0"/>
        <v>1</v>
      </c>
      <c r="K31" t="b">
        <f t="shared" si="1"/>
        <v>0</v>
      </c>
    </row>
    <row r="32" spans="1:11" x14ac:dyDescent="0.3">
      <c r="A32">
        <v>6313</v>
      </c>
      <c r="B32" t="s">
        <v>41</v>
      </c>
      <c r="C32" t="s">
        <v>10</v>
      </c>
      <c r="D32" t="s">
        <v>11</v>
      </c>
      <c r="E32">
        <v>0.99610030699999996</v>
      </c>
      <c r="F32">
        <v>0.99610030699999996</v>
      </c>
      <c r="G32">
        <v>3.8997390000000002E-3</v>
      </c>
      <c r="H32" t="b">
        <v>1</v>
      </c>
      <c r="I32" t="b">
        <v>1</v>
      </c>
      <c r="J32" t="b">
        <f t="shared" si="0"/>
        <v>1</v>
      </c>
      <c r="K32" t="b">
        <f t="shared" si="1"/>
        <v>0</v>
      </c>
    </row>
    <row r="33" spans="1:11" x14ac:dyDescent="0.3">
      <c r="A33">
        <v>9229</v>
      </c>
      <c r="B33" t="s">
        <v>42</v>
      </c>
      <c r="C33" t="s">
        <v>10</v>
      </c>
      <c r="D33" t="s">
        <v>11</v>
      </c>
      <c r="E33">
        <v>0.99573057899999995</v>
      </c>
      <c r="F33">
        <v>0.99573057899999995</v>
      </c>
      <c r="G33">
        <v>4.2694550000000001E-3</v>
      </c>
      <c r="H33" t="b">
        <v>0</v>
      </c>
      <c r="I33" t="b">
        <v>0</v>
      </c>
      <c r="J33" t="b">
        <f t="shared" si="0"/>
        <v>0</v>
      </c>
      <c r="K33" t="b">
        <f t="shared" si="1"/>
        <v>0</v>
      </c>
    </row>
    <row r="34" spans="1:11" x14ac:dyDescent="0.3">
      <c r="A34">
        <v>9393</v>
      </c>
      <c r="B34" t="s">
        <v>43</v>
      </c>
      <c r="C34" t="s">
        <v>10</v>
      </c>
      <c r="D34" t="s">
        <v>11</v>
      </c>
      <c r="E34">
        <v>0.99498581900000005</v>
      </c>
      <c r="F34">
        <v>0.99498581900000005</v>
      </c>
      <c r="G34">
        <v>5.0141939999999996E-3</v>
      </c>
      <c r="H34" t="b">
        <v>0</v>
      </c>
      <c r="I34" t="b">
        <v>0</v>
      </c>
      <c r="J34" t="b">
        <f t="shared" si="0"/>
        <v>0</v>
      </c>
      <c r="K34" t="b">
        <f t="shared" si="1"/>
        <v>0</v>
      </c>
    </row>
    <row r="35" spans="1:11" x14ac:dyDescent="0.3">
      <c r="A35">
        <v>10040</v>
      </c>
      <c r="B35" t="s">
        <v>44</v>
      </c>
      <c r="C35" t="s">
        <v>10</v>
      </c>
      <c r="D35" t="s">
        <v>11</v>
      </c>
      <c r="E35">
        <v>0.99449569000000004</v>
      </c>
      <c r="F35">
        <v>0.99449569000000004</v>
      </c>
      <c r="G35">
        <v>5.5043540000000004E-3</v>
      </c>
      <c r="H35" t="b">
        <v>1</v>
      </c>
      <c r="I35" t="b">
        <v>1</v>
      </c>
      <c r="J35" t="b">
        <f t="shared" si="0"/>
        <v>1</v>
      </c>
      <c r="K35" t="b">
        <f t="shared" si="1"/>
        <v>0</v>
      </c>
    </row>
    <row r="36" spans="1:11" x14ac:dyDescent="0.3">
      <c r="A36">
        <v>2904</v>
      </c>
      <c r="B36" t="s">
        <v>45</v>
      </c>
      <c r="C36" t="s">
        <v>10</v>
      </c>
      <c r="D36" t="s">
        <v>11</v>
      </c>
      <c r="E36">
        <v>0.99443507200000003</v>
      </c>
      <c r="F36">
        <v>0.99443507200000003</v>
      </c>
      <c r="G36">
        <v>5.5648859999999998E-3</v>
      </c>
      <c r="H36" t="b">
        <v>1</v>
      </c>
      <c r="I36" t="b">
        <v>1</v>
      </c>
      <c r="J36" t="b">
        <f t="shared" si="0"/>
        <v>1</v>
      </c>
      <c r="K36" t="b">
        <f t="shared" si="1"/>
        <v>0</v>
      </c>
    </row>
    <row r="37" spans="1:11" x14ac:dyDescent="0.3">
      <c r="A37">
        <v>1791</v>
      </c>
      <c r="B37" t="s">
        <v>46</v>
      </c>
      <c r="C37" t="s">
        <v>10</v>
      </c>
      <c r="D37" t="s">
        <v>11</v>
      </c>
      <c r="E37">
        <v>0.99430918700000004</v>
      </c>
      <c r="F37">
        <v>0.99430918700000004</v>
      </c>
      <c r="G37">
        <v>5.6907829999999996E-3</v>
      </c>
      <c r="H37" t="b">
        <v>1</v>
      </c>
      <c r="I37" t="b">
        <v>1</v>
      </c>
      <c r="J37" t="b">
        <f t="shared" si="0"/>
        <v>1</v>
      </c>
      <c r="K37" t="b">
        <f t="shared" si="1"/>
        <v>0</v>
      </c>
    </row>
    <row r="38" spans="1:11" x14ac:dyDescent="0.3">
      <c r="A38">
        <v>3366</v>
      </c>
      <c r="B38" t="s">
        <v>47</v>
      </c>
      <c r="C38" t="s">
        <v>10</v>
      </c>
      <c r="D38" t="s">
        <v>11</v>
      </c>
      <c r="E38">
        <v>0.99410206099999998</v>
      </c>
      <c r="F38">
        <v>0.99410206099999998</v>
      </c>
      <c r="G38">
        <v>5.8979510000000002E-3</v>
      </c>
      <c r="H38" t="b">
        <v>1</v>
      </c>
      <c r="I38" t="b">
        <v>1</v>
      </c>
      <c r="J38" t="b">
        <f t="shared" si="0"/>
        <v>1</v>
      </c>
      <c r="K38" t="b">
        <f t="shared" si="1"/>
        <v>0</v>
      </c>
    </row>
    <row r="39" spans="1:11" x14ac:dyDescent="0.3">
      <c r="A39">
        <v>9360</v>
      </c>
      <c r="B39" t="s">
        <v>48</v>
      </c>
      <c r="C39" t="s">
        <v>10</v>
      </c>
      <c r="D39" t="s">
        <v>11</v>
      </c>
      <c r="E39">
        <v>0.99384659500000005</v>
      </c>
      <c r="F39">
        <v>0.99384659500000005</v>
      </c>
      <c r="G39">
        <v>6.1533860000000003E-3</v>
      </c>
      <c r="H39" t="b">
        <v>0</v>
      </c>
      <c r="I39" t="b">
        <v>0</v>
      </c>
      <c r="J39" t="b">
        <f t="shared" si="0"/>
        <v>0</v>
      </c>
      <c r="K39" t="b">
        <f t="shared" si="1"/>
        <v>0</v>
      </c>
    </row>
    <row r="40" spans="1:11" x14ac:dyDescent="0.3">
      <c r="A40">
        <v>9732</v>
      </c>
      <c r="B40" t="s">
        <v>49</v>
      </c>
      <c r="C40" t="s">
        <v>10</v>
      </c>
      <c r="D40" t="s">
        <v>11</v>
      </c>
      <c r="E40">
        <v>0.99352347900000004</v>
      </c>
      <c r="F40">
        <v>0.99352347900000004</v>
      </c>
      <c r="G40">
        <v>6.4764799999999997E-3</v>
      </c>
      <c r="H40" t="b">
        <v>0</v>
      </c>
      <c r="I40" t="b">
        <v>0</v>
      </c>
      <c r="J40" t="b">
        <f t="shared" si="0"/>
        <v>0</v>
      </c>
      <c r="K40" t="b">
        <f t="shared" si="1"/>
        <v>0</v>
      </c>
    </row>
    <row r="41" spans="1:11" x14ac:dyDescent="0.3">
      <c r="A41">
        <v>5166</v>
      </c>
      <c r="B41" t="s">
        <v>50</v>
      </c>
      <c r="C41" t="s">
        <v>10</v>
      </c>
      <c r="D41" t="s">
        <v>11</v>
      </c>
      <c r="E41">
        <v>0.99337655300000005</v>
      </c>
      <c r="F41">
        <v>0.99337655300000005</v>
      </c>
      <c r="G41">
        <v>6.623444E-3</v>
      </c>
      <c r="H41" t="b">
        <v>1</v>
      </c>
      <c r="I41" t="b">
        <v>1</v>
      </c>
      <c r="J41" t="b">
        <f t="shared" si="0"/>
        <v>1</v>
      </c>
      <c r="K41" t="b">
        <f t="shared" si="1"/>
        <v>0</v>
      </c>
    </row>
    <row r="42" spans="1:11" x14ac:dyDescent="0.3">
      <c r="A42">
        <v>5481</v>
      </c>
      <c r="B42" t="s">
        <v>51</v>
      </c>
      <c r="C42" t="s">
        <v>10</v>
      </c>
      <c r="D42" t="s">
        <v>11</v>
      </c>
      <c r="E42">
        <v>0.99324655500000003</v>
      </c>
      <c r="F42">
        <v>0.99324655500000003</v>
      </c>
      <c r="G42">
        <v>6.7533769999999996E-3</v>
      </c>
      <c r="H42" t="b">
        <v>0</v>
      </c>
      <c r="I42" t="b">
        <v>0</v>
      </c>
      <c r="J42" t="b">
        <f t="shared" si="0"/>
        <v>0</v>
      </c>
      <c r="K42" t="b">
        <f t="shared" si="1"/>
        <v>0</v>
      </c>
    </row>
    <row r="43" spans="1:11" x14ac:dyDescent="0.3">
      <c r="A43">
        <v>7018</v>
      </c>
      <c r="B43" t="s">
        <v>52</v>
      </c>
      <c r="C43" t="s">
        <v>10</v>
      </c>
      <c r="D43" t="s">
        <v>11</v>
      </c>
      <c r="E43">
        <v>0.99323248900000005</v>
      </c>
      <c r="F43">
        <v>0.99323248900000005</v>
      </c>
      <c r="G43">
        <v>6.767543E-3</v>
      </c>
      <c r="H43" t="b">
        <v>1</v>
      </c>
      <c r="I43" t="b">
        <v>1</v>
      </c>
      <c r="J43" t="b">
        <f t="shared" si="0"/>
        <v>1</v>
      </c>
      <c r="K43" t="b">
        <f t="shared" si="1"/>
        <v>0</v>
      </c>
    </row>
    <row r="44" spans="1:11" x14ac:dyDescent="0.3">
      <c r="A44">
        <v>8205</v>
      </c>
      <c r="B44" t="s">
        <v>53</v>
      </c>
      <c r="C44" t="s">
        <v>10</v>
      </c>
      <c r="D44" t="s">
        <v>11</v>
      </c>
      <c r="E44">
        <v>0.99314212800000001</v>
      </c>
      <c r="F44">
        <v>0.99314212800000001</v>
      </c>
      <c r="G44">
        <v>6.8579000000000001E-3</v>
      </c>
      <c r="H44" t="b">
        <v>0</v>
      </c>
      <c r="I44" t="b">
        <v>1</v>
      </c>
      <c r="J44" t="b">
        <f t="shared" si="0"/>
        <v>0</v>
      </c>
      <c r="K44" t="b">
        <f t="shared" si="1"/>
        <v>1</v>
      </c>
    </row>
    <row r="45" spans="1:11" x14ac:dyDescent="0.3">
      <c r="A45">
        <v>7740</v>
      </c>
      <c r="B45" t="s">
        <v>54</v>
      </c>
      <c r="C45" t="s">
        <v>10</v>
      </c>
      <c r="D45" t="s">
        <v>11</v>
      </c>
      <c r="E45">
        <v>0.99310874900000001</v>
      </c>
      <c r="F45">
        <v>0.99310874900000001</v>
      </c>
      <c r="G45">
        <v>6.8911780000000004E-3</v>
      </c>
      <c r="H45" t="b">
        <v>1</v>
      </c>
      <c r="I45" t="b">
        <v>0</v>
      </c>
      <c r="J45" t="b">
        <f t="shared" si="0"/>
        <v>0</v>
      </c>
      <c r="K45" t="b">
        <f t="shared" si="1"/>
        <v>1</v>
      </c>
    </row>
    <row r="46" spans="1:11" x14ac:dyDescent="0.3">
      <c r="A46">
        <v>4069</v>
      </c>
      <c r="B46" t="s">
        <v>55</v>
      </c>
      <c r="C46" t="s">
        <v>10</v>
      </c>
      <c r="D46" t="s">
        <v>11</v>
      </c>
      <c r="E46">
        <v>0.99301868699999996</v>
      </c>
      <c r="F46">
        <v>0.99301868699999996</v>
      </c>
      <c r="G46">
        <v>6.9813339999999996E-3</v>
      </c>
      <c r="H46" t="b">
        <v>1</v>
      </c>
      <c r="I46" t="b">
        <v>1</v>
      </c>
      <c r="J46" t="b">
        <f t="shared" si="0"/>
        <v>1</v>
      </c>
      <c r="K46" t="b">
        <f t="shared" si="1"/>
        <v>0</v>
      </c>
    </row>
    <row r="47" spans="1:11" x14ac:dyDescent="0.3">
      <c r="A47">
        <v>10543</v>
      </c>
      <c r="B47" t="s">
        <v>56</v>
      </c>
      <c r="C47" t="s">
        <v>10</v>
      </c>
      <c r="D47" t="s">
        <v>11</v>
      </c>
      <c r="E47">
        <v>0.99274289599999999</v>
      </c>
      <c r="F47">
        <v>0.99274289599999999</v>
      </c>
      <c r="G47">
        <v>7.2570930000000001E-3</v>
      </c>
      <c r="H47" t="b">
        <v>1</v>
      </c>
      <c r="I47" t="b">
        <v>0</v>
      </c>
      <c r="J47" t="b">
        <f t="shared" si="0"/>
        <v>0</v>
      </c>
      <c r="K47" t="b">
        <f t="shared" si="1"/>
        <v>1</v>
      </c>
    </row>
    <row r="48" spans="1:11" x14ac:dyDescent="0.3">
      <c r="A48">
        <v>4133</v>
      </c>
      <c r="B48" t="s">
        <v>57</v>
      </c>
      <c r="C48" t="s">
        <v>10</v>
      </c>
      <c r="D48" t="s">
        <v>11</v>
      </c>
      <c r="E48">
        <v>0.99252373000000005</v>
      </c>
      <c r="F48">
        <v>0.99252373000000005</v>
      </c>
      <c r="G48">
        <v>7.4762240000000001E-3</v>
      </c>
      <c r="H48" t="b">
        <v>0</v>
      </c>
      <c r="I48" t="b">
        <v>0</v>
      </c>
      <c r="J48" t="b">
        <f t="shared" si="0"/>
        <v>0</v>
      </c>
      <c r="K48" t="b">
        <f t="shared" si="1"/>
        <v>0</v>
      </c>
    </row>
    <row r="49" spans="1:11" x14ac:dyDescent="0.3">
      <c r="A49">
        <v>3802</v>
      </c>
      <c r="B49" t="s">
        <v>58</v>
      </c>
      <c r="C49" t="s">
        <v>10</v>
      </c>
      <c r="D49" t="s">
        <v>11</v>
      </c>
      <c r="E49">
        <v>0.99244034299999995</v>
      </c>
      <c r="F49">
        <v>0.99244034299999995</v>
      </c>
      <c r="G49">
        <v>7.5596480000000004E-3</v>
      </c>
      <c r="H49" t="b">
        <v>0</v>
      </c>
      <c r="I49" t="b">
        <v>1</v>
      </c>
      <c r="J49" t="b">
        <f t="shared" si="0"/>
        <v>0</v>
      </c>
      <c r="K49" t="b">
        <f t="shared" si="1"/>
        <v>1</v>
      </c>
    </row>
    <row r="50" spans="1:11" x14ac:dyDescent="0.3">
      <c r="A50">
        <v>8308</v>
      </c>
      <c r="B50" t="s">
        <v>59</v>
      </c>
      <c r="C50" t="s">
        <v>10</v>
      </c>
      <c r="D50" t="s">
        <v>11</v>
      </c>
      <c r="E50">
        <v>0.99229067599999998</v>
      </c>
      <c r="F50">
        <v>0.99229067599999998</v>
      </c>
      <c r="G50">
        <v>7.7093320000000002E-3</v>
      </c>
      <c r="H50" t="b">
        <v>1</v>
      </c>
      <c r="I50" t="b">
        <v>1</v>
      </c>
      <c r="J50" t="b">
        <f t="shared" si="0"/>
        <v>1</v>
      </c>
      <c r="K50" t="b">
        <f t="shared" si="1"/>
        <v>0</v>
      </c>
    </row>
    <row r="51" spans="1:11" x14ac:dyDescent="0.3">
      <c r="A51">
        <v>9489</v>
      </c>
      <c r="B51" t="s">
        <v>60</v>
      </c>
      <c r="C51" t="s">
        <v>10</v>
      </c>
      <c r="D51" t="s">
        <v>11</v>
      </c>
      <c r="E51">
        <v>0.992281258</v>
      </c>
      <c r="F51">
        <v>0.992281258</v>
      </c>
      <c r="G51">
        <v>7.718679E-3</v>
      </c>
      <c r="H51" t="b">
        <v>1</v>
      </c>
      <c r="I51" t="b">
        <v>0</v>
      </c>
      <c r="J51" t="b">
        <f t="shared" si="0"/>
        <v>0</v>
      </c>
      <c r="K51" t="b">
        <f t="shared" si="1"/>
        <v>1</v>
      </c>
    </row>
    <row r="52" spans="1:11" x14ac:dyDescent="0.3">
      <c r="A52">
        <v>6304</v>
      </c>
      <c r="B52" t="s">
        <v>61</v>
      </c>
      <c r="C52" t="s">
        <v>10</v>
      </c>
      <c r="D52" t="s">
        <v>11</v>
      </c>
      <c r="E52">
        <v>0.99196505499999998</v>
      </c>
      <c r="F52">
        <v>0.99196505499999998</v>
      </c>
      <c r="G52">
        <v>8.0348929999999995E-3</v>
      </c>
      <c r="H52" t="b">
        <v>0</v>
      </c>
      <c r="I52" t="b">
        <v>0</v>
      </c>
      <c r="J52" t="b">
        <f t="shared" si="0"/>
        <v>0</v>
      </c>
      <c r="K52" t="b">
        <f t="shared" si="1"/>
        <v>0</v>
      </c>
    </row>
    <row r="53" spans="1:11" x14ac:dyDescent="0.3">
      <c r="A53">
        <v>9218</v>
      </c>
      <c r="B53" t="s">
        <v>62</v>
      </c>
      <c r="C53" t="s">
        <v>10</v>
      </c>
      <c r="D53" t="s">
        <v>11</v>
      </c>
      <c r="E53">
        <v>0.99178546700000003</v>
      </c>
      <c r="F53">
        <v>0.99178546700000003</v>
      </c>
      <c r="G53">
        <v>8.2145259999999998E-3</v>
      </c>
      <c r="H53" t="b">
        <v>1</v>
      </c>
      <c r="I53" t="b">
        <v>1</v>
      </c>
      <c r="J53" t="b">
        <f t="shared" si="0"/>
        <v>1</v>
      </c>
      <c r="K53" t="b">
        <f t="shared" si="1"/>
        <v>0</v>
      </c>
    </row>
    <row r="54" spans="1:11" x14ac:dyDescent="0.3">
      <c r="A54">
        <v>4027</v>
      </c>
      <c r="B54" t="s">
        <v>63</v>
      </c>
      <c r="C54" t="s">
        <v>10</v>
      </c>
      <c r="D54" t="s">
        <v>11</v>
      </c>
      <c r="E54">
        <v>0.99171185500000003</v>
      </c>
      <c r="F54">
        <v>0.99171185500000003</v>
      </c>
      <c r="G54">
        <v>8.2881880000000002E-3</v>
      </c>
      <c r="H54" t="b">
        <v>0</v>
      </c>
      <c r="I54" t="b">
        <v>0</v>
      </c>
      <c r="J54" t="b">
        <f t="shared" si="0"/>
        <v>0</v>
      </c>
      <c r="K54" t="b">
        <f t="shared" si="1"/>
        <v>0</v>
      </c>
    </row>
    <row r="55" spans="1:11" x14ac:dyDescent="0.3">
      <c r="A55">
        <v>740</v>
      </c>
      <c r="B55" t="s">
        <v>64</v>
      </c>
      <c r="C55" t="s">
        <v>10</v>
      </c>
      <c r="D55" t="s">
        <v>11</v>
      </c>
      <c r="E55">
        <v>0.99170386799999999</v>
      </c>
      <c r="F55">
        <v>0.99170386799999999</v>
      </c>
      <c r="G55">
        <v>8.2960540000000006E-3</v>
      </c>
      <c r="H55" t="b">
        <v>1</v>
      </c>
      <c r="I55" t="b">
        <v>1</v>
      </c>
      <c r="J55" t="b">
        <f t="shared" si="0"/>
        <v>1</v>
      </c>
      <c r="K55" t="b">
        <f t="shared" si="1"/>
        <v>0</v>
      </c>
    </row>
    <row r="56" spans="1:11" x14ac:dyDescent="0.3">
      <c r="A56">
        <v>4394</v>
      </c>
      <c r="B56" t="s">
        <v>65</v>
      </c>
      <c r="C56" t="s">
        <v>10</v>
      </c>
      <c r="D56" t="s">
        <v>11</v>
      </c>
      <c r="E56">
        <v>0.99118173099999995</v>
      </c>
      <c r="F56">
        <v>0.99118173099999995</v>
      </c>
      <c r="G56">
        <v>8.8182499999999997E-3</v>
      </c>
      <c r="H56" t="b">
        <v>0</v>
      </c>
      <c r="I56" t="b">
        <v>0</v>
      </c>
      <c r="J56" t="b">
        <f t="shared" si="0"/>
        <v>0</v>
      </c>
      <c r="K56" t="b">
        <f t="shared" si="1"/>
        <v>0</v>
      </c>
    </row>
    <row r="57" spans="1:11" x14ac:dyDescent="0.3">
      <c r="A57">
        <v>10182</v>
      </c>
      <c r="B57" t="s">
        <v>66</v>
      </c>
      <c r="C57" t="s">
        <v>10</v>
      </c>
      <c r="D57" t="s">
        <v>11</v>
      </c>
      <c r="E57">
        <v>0.99077212800000003</v>
      </c>
      <c r="F57">
        <v>0.99077212800000003</v>
      </c>
      <c r="G57">
        <v>9.2279110000000001E-3</v>
      </c>
      <c r="H57" t="b">
        <v>0</v>
      </c>
      <c r="I57" t="b">
        <v>0</v>
      </c>
      <c r="J57" t="b">
        <f t="shared" si="0"/>
        <v>0</v>
      </c>
      <c r="K57" t="b">
        <f t="shared" si="1"/>
        <v>0</v>
      </c>
    </row>
    <row r="58" spans="1:11" x14ac:dyDescent="0.3">
      <c r="A58">
        <v>5092</v>
      </c>
      <c r="B58" t="s">
        <v>67</v>
      </c>
      <c r="C58" t="s">
        <v>10</v>
      </c>
      <c r="D58" t="s">
        <v>11</v>
      </c>
      <c r="E58">
        <v>0.98925334200000004</v>
      </c>
      <c r="F58">
        <v>0.98925334200000004</v>
      </c>
      <c r="G58">
        <v>1.0746735E-2</v>
      </c>
      <c r="H58" t="b">
        <v>0</v>
      </c>
      <c r="I58" t="b">
        <v>0</v>
      </c>
      <c r="J58" t="b">
        <f t="shared" si="0"/>
        <v>0</v>
      </c>
      <c r="K58" t="b">
        <f t="shared" si="1"/>
        <v>0</v>
      </c>
    </row>
    <row r="59" spans="1:11" x14ac:dyDescent="0.3">
      <c r="A59">
        <v>4931</v>
      </c>
      <c r="B59" t="s">
        <v>68</v>
      </c>
      <c r="C59" t="s">
        <v>10</v>
      </c>
      <c r="D59" t="s">
        <v>11</v>
      </c>
      <c r="E59">
        <v>0.98907232300000003</v>
      </c>
      <c r="F59">
        <v>0.98907232300000003</v>
      </c>
      <c r="G59">
        <v>1.0927686000000001E-2</v>
      </c>
      <c r="H59" t="b">
        <v>1</v>
      </c>
      <c r="I59" t="b">
        <v>1</v>
      </c>
      <c r="J59" t="b">
        <f t="shared" si="0"/>
        <v>1</v>
      </c>
      <c r="K59" t="b">
        <f t="shared" si="1"/>
        <v>0</v>
      </c>
    </row>
    <row r="60" spans="1:11" x14ac:dyDescent="0.3">
      <c r="A60">
        <v>3145</v>
      </c>
      <c r="B60" t="s">
        <v>69</v>
      </c>
      <c r="C60" t="s">
        <v>10</v>
      </c>
      <c r="D60" t="s">
        <v>11</v>
      </c>
      <c r="E60">
        <v>0.98897701500000001</v>
      </c>
      <c r="F60">
        <v>0.98897701500000001</v>
      </c>
      <c r="G60">
        <v>1.1023013E-2</v>
      </c>
      <c r="H60" t="b">
        <v>1</v>
      </c>
      <c r="I60" t="b">
        <v>0</v>
      </c>
      <c r="J60" t="b">
        <f t="shared" si="0"/>
        <v>0</v>
      </c>
      <c r="K60" t="b">
        <f t="shared" si="1"/>
        <v>1</v>
      </c>
    </row>
    <row r="61" spans="1:11" x14ac:dyDescent="0.3">
      <c r="A61">
        <v>3242</v>
      </c>
      <c r="B61" t="s">
        <v>70</v>
      </c>
      <c r="C61" t="s">
        <v>10</v>
      </c>
      <c r="D61" t="s">
        <v>11</v>
      </c>
      <c r="E61">
        <v>0.98880988400000003</v>
      </c>
      <c r="F61">
        <v>0.98880988400000003</v>
      </c>
      <c r="G61">
        <v>1.1190182E-2</v>
      </c>
      <c r="H61" t="b">
        <v>0</v>
      </c>
      <c r="I61" t="b">
        <v>0</v>
      </c>
      <c r="J61" t="b">
        <f t="shared" si="0"/>
        <v>0</v>
      </c>
      <c r="K61" t="b">
        <f t="shared" si="1"/>
        <v>0</v>
      </c>
    </row>
    <row r="62" spans="1:11" x14ac:dyDescent="0.3">
      <c r="A62">
        <v>2375</v>
      </c>
      <c r="B62" t="s">
        <v>71</v>
      </c>
      <c r="C62" t="s">
        <v>10</v>
      </c>
      <c r="D62" t="s">
        <v>11</v>
      </c>
      <c r="E62">
        <v>0.98769229700000005</v>
      </c>
      <c r="F62">
        <v>0.98769229700000005</v>
      </c>
      <c r="G62">
        <v>1.23077E-2</v>
      </c>
      <c r="H62" t="b">
        <v>1</v>
      </c>
      <c r="I62" t="b">
        <v>1</v>
      </c>
      <c r="J62" t="b">
        <f t="shared" si="0"/>
        <v>1</v>
      </c>
      <c r="K62" t="b">
        <f t="shared" si="1"/>
        <v>0</v>
      </c>
    </row>
    <row r="63" spans="1:11" x14ac:dyDescent="0.3">
      <c r="A63">
        <v>3639</v>
      </c>
      <c r="B63" t="s">
        <v>72</v>
      </c>
      <c r="C63" t="s">
        <v>10</v>
      </c>
      <c r="D63" t="s">
        <v>11</v>
      </c>
      <c r="E63">
        <v>0.98730331699999996</v>
      </c>
      <c r="F63">
        <v>0.98730331699999996</v>
      </c>
      <c r="G63">
        <v>1.2696631999999999E-2</v>
      </c>
      <c r="H63" t="b">
        <v>1</v>
      </c>
      <c r="I63" t="b">
        <v>1</v>
      </c>
      <c r="J63" t="b">
        <f t="shared" si="0"/>
        <v>1</v>
      </c>
      <c r="K63" t="b">
        <f t="shared" si="1"/>
        <v>0</v>
      </c>
    </row>
    <row r="64" spans="1:11" x14ac:dyDescent="0.3">
      <c r="A64">
        <v>6997</v>
      </c>
      <c r="B64" t="s">
        <v>73</v>
      </c>
      <c r="C64" t="s">
        <v>10</v>
      </c>
      <c r="D64" t="s">
        <v>11</v>
      </c>
      <c r="E64">
        <v>0.98705661300000003</v>
      </c>
      <c r="F64">
        <v>0.98705661300000003</v>
      </c>
      <c r="G64">
        <v>1.2943382999999999E-2</v>
      </c>
      <c r="H64" t="b">
        <v>0</v>
      </c>
      <c r="I64" t="b">
        <v>0</v>
      </c>
      <c r="J64" t="b">
        <f t="shared" si="0"/>
        <v>0</v>
      </c>
      <c r="K64" t="b">
        <f t="shared" si="1"/>
        <v>0</v>
      </c>
    </row>
    <row r="65" spans="1:11" x14ac:dyDescent="0.3">
      <c r="A65">
        <v>536</v>
      </c>
      <c r="B65" t="s">
        <v>74</v>
      </c>
      <c r="C65" t="s">
        <v>10</v>
      </c>
      <c r="D65" t="s">
        <v>11</v>
      </c>
      <c r="E65">
        <v>0.986129582</v>
      </c>
      <c r="F65">
        <v>0.986129582</v>
      </c>
      <c r="G65">
        <v>1.3870449E-2</v>
      </c>
      <c r="H65" t="b">
        <v>1</v>
      </c>
      <c r="I65" t="b">
        <v>0</v>
      </c>
      <c r="J65" t="b">
        <f t="shared" si="0"/>
        <v>0</v>
      </c>
      <c r="K65" t="b">
        <f t="shared" si="1"/>
        <v>1</v>
      </c>
    </row>
    <row r="66" spans="1:11" x14ac:dyDescent="0.3">
      <c r="A66">
        <v>5498</v>
      </c>
      <c r="B66" t="s">
        <v>75</v>
      </c>
      <c r="C66" t="s">
        <v>10</v>
      </c>
      <c r="D66" t="s">
        <v>11</v>
      </c>
      <c r="E66">
        <v>0.98548984500000003</v>
      </c>
      <c r="F66">
        <v>0.98548984500000003</v>
      </c>
      <c r="G66">
        <v>1.4510103999999999E-2</v>
      </c>
      <c r="H66" t="b">
        <v>0</v>
      </c>
      <c r="I66" t="b">
        <v>0</v>
      </c>
      <c r="J66" t="b">
        <f t="shared" si="0"/>
        <v>0</v>
      </c>
      <c r="K66" t="b">
        <f t="shared" si="1"/>
        <v>0</v>
      </c>
    </row>
    <row r="67" spans="1:11" x14ac:dyDescent="0.3">
      <c r="A67">
        <v>7554</v>
      </c>
      <c r="B67" t="s">
        <v>76</v>
      </c>
      <c r="C67" t="s">
        <v>10</v>
      </c>
      <c r="D67" t="s">
        <v>11</v>
      </c>
      <c r="E67">
        <v>0.98463791599999995</v>
      </c>
      <c r="F67">
        <v>0.98463791599999995</v>
      </c>
      <c r="G67">
        <v>1.5362067E-2</v>
      </c>
      <c r="H67" t="b">
        <v>0</v>
      </c>
      <c r="I67" t="b">
        <v>0</v>
      </c>
      <c r="J67" t="b">
        <f t="shared" ref="J67:J130" si="2">AND(H67:I67)</f>
        <v>0</v>
      </c>
      <c r="K67" t="b">
        <f t="shared" ref="K67:K130" si="3">NOT(H67=I67)</f>
        <v>0</v>
      </c>
    </row>
    <row r="68" spans="1:11" x14ac:dyDescent="0.3">
      <c r="A68">
        <v>9043</v>
      </c>
      <c r="B68" t="s">
        <v>77</v>
      </c>
      <c r="C68" t="s">
        <v>10</v>
      </c>
      <c r="D68" t="s">
        <v>11</v>
      </c>
      <c r="E68">
        <v>0.98319786799999997</v>
      </c>
      <c r="F68">
        <v>0.98319786799999997</v>
      </c>
      <c r="G68">
        <v>1.6802134E-2</v>
      </c>
      <c r="H68" t="b">
        <v>0</v>
      </c>
      <c r="I68" t="b">
        <v>0</v>
      </c>
      <c r="J68" t="b">
        <f t="shared" si="2"/>
        <v>0</v>
      </c>
      <c r="K68" t="b">
        <f t="shared" si="3"/>
        <v>0</v>
      </c>
    </row>
    <row r="69" spans="1:11" x14ac:dyDescent="0.3">
      <c r="A69">
        <v>9314</v>
      </c>
      <c r="B69" t="s">
        <v>78</v>
      </c>
      <c r="C69" t="s">
        <v>10</v>
      </c>
      <c r="D69" t="s">
        <v>11</v>
      </c>
      <c r="E69">
        <v>0.98244708800000002</v>
      </c>
      <c r="F69">
        <v>0.98244708800000002</v>
      </c>
      <c r="G69">
        <v>1.7552907E-2</v>
      </c>
      <c r="H69" t="b">
        <v>0</v>
      </c>
      <c r="I69" t="b">
        <v>0</v>
      </c>
      <c r="J69" t="b">
        <f t="shared" si="2"/>
        <v>0</v>
      </c>
      <c r="K69" t="b">
        <f t="shared" si="3"/>
        <v>0</v>
      </c>
    </row>
    <row r="70" spans="1:11" x14ac:dyDescent="0.3">
      <c r="A70">
        <v>1482</v>
      </c>
      <c r="B70" t="s">
        <v>79</v>
      </c>
      <c r="C70" t="s">
        <v>10</v>
      </c>
      <c r="D70" t="s">
        <v>11</v>
      </c>
      <c r="E70">
        <v>0.98115599200000003</v>
      </c>
      <c r="F70">
        <v>0.98115599200000003</v>
      </c>
      <c r="G70">
        <v>1.8844059E-2</v>
      </c>
      <c r="H70" t="b">
        <v>1</v>
      </c>
      <c r="I70" t="b">
        <v>0</v>
      </c>
      <c r="J70" t="b">
        <f t="shared" si="2"/>
        <v>0</v>
      </c>
      <c r="K70" t="b">
        <f t="shared" si="3"/>
        <v>1</v>
      </c>
    </row>
    <row r="71" spans="1:11" x14ac:dyDescent="0.3">
      <c r="A71">
        <v>5373</v>
      </c>
      <c r="B71" t="s">
        <v>80</v>
      </c>
      <c r="C71" t="s">
        <v>10</v>
      </c>
      <c r="D71" t="s">
        <v>11</v>
      </c>
      <c r="E71">
        <v>0.98105430599999999</v>
      </c>
      <c r="F71">
        <v>0.98105430599999999</v>
      </c>
      <c r="G71">
        <v>1.8945619E-2</v>
      </c>
      <c r="H71" t="b">
        <v>0</v>
      </c>
      <c r="I71" t="b">
        <v>0</v>
      </c>
      <c r="J71" t="b">
        <f t="shared" si="2"/>
        <v>0</v>
      </c>
      <c r="K71" t="b">
        <f t="shared" si="3"/>
        <v>0</v>
      </c>
    </row>
    <row r="72" spans="1:11" x14ac:dyDescent="0.3">
      <c r="A72">
        <v>1309</v>
      </c>
      <c r="B72" t="s">
        <v>81</v>
      </c>
      <c r="C72" t="s">
        <v>10</v>
      </c>
      <c r="D72" t="s">
        <v>11</v>
      </c>
      <c r="E72">
        <v>0.98043030499999995</v>
      </c>
      <c r="F72">
        <v>0.98043030499999995</v>
      </c>
      <c r="G72">
        <v>1.9569646999999999E-2</v>
      </c>
      <c r="H72" t="b">
        <v>0</v>
      </c>
      <c r="I72" t="b">
        <v>0</v>
      </c>
      <c r="J72" t="b">
        <f t="shared" si="2"/>
        <v>0</v>
      </c>
      <c r="K72" t="b">
        <f t="shared" si="3"/>
        <v>0</v>
      </c>
    </row>
    <row r="73" spans="1:11" x14ac:dyDescent="0.3">
      <c r="A73">
        <v>9825</v>
      </c>
      <c r="B73" t="s">
        <v>82</v>
      </c>
      <c r="C73" t="s">
        <v>10</v>
      </c>
      <c r="D73" t="s">
        <v>11</v>
      </c>
      <c r="E73">
        <v>0.98030888999999999</v>
      </c>
      <c r="F73">
        <v>0.98030888999999999</v>
      </c>
      <c r="G73">
        <v>1.9691060999999999E-2</v>
      </c>
      <c r="H73" t="b">
        <v>0</v>
      </c>
      <c r="I73" t="b">
        <v>0</v>
      </c>
      <c r="J73" t="b">
        <f t="shared" si="2"/>
        <v>0</v>
      </c>
      <c r="K73" t="b">
        <f t="shared" si="3"/>
        <v>0</v>
      </c>
    </row>
    <row r="74" spans="1:11" x14ac:dyDescent="0.3">
      <c r="A74">
        <v>8680</v>
      </c>
      <c r="B74" t="s">
        <v>83</v>
      </c>
      <c r="C74" t="s">
        <v>10</v>
      </c>
      <c r="D74" t="s">
        <v>11</v>
      </c>
      <c r="E74">
        <v>0.97905629900000002</v>
      </c>
      <c r="F74">
        <v>0.97905629900000002</v>
      </c>
      <c r="G74">
        <v>2.0943724E-2</v>
      </c>
      <c r="H74" t="b">
        <v>1</v>
      </c>
      <c r="I74" t="b">
        <v>1</v>
      </c>
      <c r="J74" t="b">
        <f t="shared" si="2"/>
        <v>1</v>
      </c>
      <c r="K74" t="b">
        <f t="shared" si="3"/>
        <v>0</v>
      </c>
    </row>
    <row r="75" spans="1:11" x14ac:dyDescent="0.3">
      <c r="A75">
        <v>2393</v>
      </c>
      <c r="B75" t="s">
        <v>84</v>
      </c>
      <c r="C75" t="s">
        <v>10</v>
      </c>
      <c r="D75" t="s">
        <v>11</v>
      </c>
      <c r="E75">
        <v>0.97883874199999998</v>
      </c>
      <c r="F75">
        <v>0.97883874199999998</v>
      </c>
      <c r="G75">
        <v>2.1161263999999999E-2</v>
      </c>
      <c r="H75" t="b">
        <v>1</v>
      </c>
      <c r="I75" t="b">
        <v>1</v>
      </c>
      <c r="J75" t="b">
        <f t="shared" si="2"/>
        <v>1</v>
      </c>
      <c r="K75" t="b">
        <f t="shared" si="3"/>
        <v>0</v>
      </c>
    </row>
    <row r="76" spans="1:11" x14ac:dyDescent="0.3">
      <c r="A76">
        <v>6054</v>
      </c>
      <c r="B76" t="s">
        <v>85</v>
      </c>
      <c r="C76" t="s">
        <v>10</v>
      </c>
      <c r="D76" t="s">
        <v>11</v>
      </c>
      <c r="E76">
        <v>0.97821360800000001</v>
      </c>
      <c r="F76">
        <v>0.97821360800000001</v>
      </c>
      <c r="G76">
        <v>2.1786363999999999E-2</v>
      </c>
      <c r="H76" t="b">
        <v>0</v>
      </c>
      <c r="I76" t="b">
        <v>0</v>
      </c>
      <c r="J76" t="b">
        <f t="shared" si="2"/>
        <v>0</v>
      </c>
      <c r="K76" t="b">
        <f t="shared" si="3"/>
        <v>0</v>
      </c>
    </row>
    <row r="77" spans="1:11" x14ac:dyDescent="0.3">
      <c r="A77">
        <v>3269</v>
      </c>
      <c r="B77" t="s">
        <v>86</v>
      </c>
      <c r="C77" t="s">
        <v>10</v>
      </c>
      <c r="D77" t="s">
        <v>11</v>
      </c>
      <c r="E77">
        <v>0.97754925500000001</v>
      </c>
      <c r="F77">
        <v>0.97754925500000001</v>
      </c>
      <c r="G77">
        <v>2.2450721E-2</v>
      </c>
      <c r="H77" t="b">
        <v>0</v>
      </c>
      <c r="I77" t="b">
        <v>0</v>
      </c>
      <c r="J77" t="b">
        <f t="shared" si="2"/>
        <v>0</v>
      </c>
      <c r="K77" t="b">
        <f t="shared" si="3"/>
        <v>0</v>
      </c>
    </row>
    <row r="78" spans="1:11" x14ac:dyDescent="0.3">
      <c r="A78">
        <v>1884</v>
      </c>
      <c r="B78" t="s">
        <v>87</v>
      </c>
      <c r="C78" t="s">
        <v>10</v>
      </c>
      <c r="D78" t="s">
        <v>11</v>
      </c>
      <c r="E78">
        <v>0.97605544300000002</v>
      </c>
      <c r="F78">
        <v>0.97605544300000002</v>
      </c>
      <c r="G78">
        <v>2.3944541999999999E-2</v>
      </c>
      <c r="H78" t="b">
        <v>1</v>
      </c>
      <c r="I78" t="b">
        <v>1</v>
      </c>
      <c r="J78" t="b">
        <f t="shared" si="2"/>
        <v>1</v>
      </c>
      <c r="K78" t="b">
        <f t="shared" si="3"/>
        <v>0</v>
      </c>
    </row>
    <row r="79" spans="1:11" x14ac:dyDescent="0.3">
      <c r="A79">
        <v>4160</v>
      </c>
      <c r="B79" t="s">
        <v>88</v>
      </c>
      <c r="C79" t="s">
        <v>10</v>
      </c>
      <c r="D79" t="s">
        <v>11</v>
      </c>
      <c r="E79">
        <v>0.97582870700000002</v>
      </c>
      <c r="F79">
        <v>0.97582870700000002</v>
      </c>
      <c r="G79">
        <v>2.4171278000000001E-2</v>
      </c>
      <c r="H79" t="b">
        <v>1</v>
      </c>
      <c r="I79" t="b">
        <v>1</v>
      </c>
      <c r="J79" t="b">
        <f t="shared" si="2"/>
        <v>1</v>
      </c>
      <c r="K79" t="b">
        <f t="shared" si="3"/>
        <v>0</v>
      </c>
    </row>
    <row r="80" spans="1:11" x14ac:dyDescent="0.3">
      <c r="A80">
        <v>355</v>
      </c>
      <c r="B80" t="s">
        <v>89</v>
      </c>
      <c r="C80" t="s">
        <v>10</v>
      </c>
      <c r="D80" t="s">
        <v>11</v>
      </c>
      <c r="E80">
        <v>0.97548246400000005</v>
      </c>
      <c r="F80">
        <v>0.97548246400000005</v>
      </c>
      <c r="G80">
        <v>2.4517542E-2</v>
      </c>
      <c r="H80" t="b">
        <v>1</v>
      </c>
      <c r="I80" t="b">
        <v>1</v>
      </c>
      <c r="J80" t="b">
        <f t="shared" si="2"/>
        <v>1</v>
      </c>
      <c r="K80" t="b">
        <f t="shared" si="3"/>
        <v>0</v>
      </c>
    </row>
    <row r="81" spans="1:11" x14ac:dyDescent="0.3">
      <c r="A81">
        <v>7333</v>
      </c>
      <c r="B81" t="s">
        <v>90</v>
      </c>
      <c r="C81" t="s">
        <v>10</v>
      </c>
      <c r="D81" t="s">
        <v>11</v>
      </c>
      <c r="E81">
        <v>0.97362500399999996</v>
      </c>
      <c r="F81">
        <v>0.97362500399999996</v>
      </c>
      <c r="G81">
        <v>2.6375024E-2</v>
      </c>
      <c r="H81" t="b">
        <v>0</v>
      </c>
      <c r="I81" t="b">
        <v>0</v>
      </c>
      <c r="J81" t="b">
        <f t="shared" si="2"/>
        <v>0</v>
      </c>
      <c r="K81" t="b">
        <f t="shared" si="3"/>
        <v>0</v>
      </c>
    </row>
    <row r="82" spans="1:11" x14ac:dyDescent="0.3">
      <c r="A82">
        <v>9073</v>
      </c>
      <c r="B82" t="s">
        <v>91</v>
      </c>
      <c r="C82" t="s">
        <v>10</v>
      </c>
      <c r="D82" t="s">
        <v>11</v>
      </c>
      <c r="E82">
        <v>0.97216099499999997</v>
      </c>
      <c r="F82">
        <v>0.97216099499999997</v>
      </c>
      <c r="G82">
        <v>2.7839029000000001E-2</v>
      </c>
      <c r="H82" t="b">
        <v>0</v>
      </c>
      <c r="I82" t="b">
        <v>1</v>
      </c>
      <c r="J82" t="b">
        <f t="shared" si="2"/>
        <v>0</v>
      </c>
      <c r="K82" t="b">
        <f t="shared" si="3"/>
        <v>1</v>
      </c>
    </row>
    <row r="83" spans="1:11" x14ac:dyDescent="0.3">
      <c r="A83">
        <v>7326</v>
      </c>
      <c r="B83" t="s">
        <v>92</v>
      </c>
      <c r="C83" t="s">
        <v>10</v>
      </c>
      <c r="D83" t="s">
        <v>11</v>
      </c>
      <c r="E83">
        <v>0.97153711300000001</v>
      </c>
      <c r="F83">
        <v>0.97153711300000001</v>
      </c>
      <c r="G83">
        <v>2.8462935000000002E-2</v>
      </c>
      <c r="H83" t="b">
        <v>0</v>
      </c>
      <c r="I83" t="b">
        <v>1</v>
      </c>
      <c r="J83" t="b">
        <f t="shared" si="2"/>
        <v>0</v>
      </c>
      <c r="K83" t="b">
        <f t="shared" si="3"/>
        <v>1</v>
      </c>
    </row>
    <row r="84" spans="1:11" x14ac:dyDescent="0.3">
      <c r="A84">
        <v>10419</v>
      </c>
      <c r="B84" t="s">
        <v>93</v>
      </c>
      <c r="C84" t="s">
        <v>10</v>
      </c>
      <c r="D84" t="s">
        <v>11</v>
      </c>
      <c r="E84">
        <v>0.96657103300000002</v>
      </c>
      <c r="F84">
        <v>0.96657103300000002</v>
      </c>
      <c r="G84">
        <v>3.3428992999999997E-2</v>
      </c>
      <c r="H84" t="b">
        <v>1</v>
      </c>
      <c r="I84" t="b">
        <v>1</v>
      </c>
      <c r="J84" t="b">
        <f t="shared" si="2"/>
        <v>1</v>
      </c>
      <c r="K84" t="b">
        <f t="shared" si="3"/>
        <v>0</v>
      </c>
    </row>
    <row r="85" spans="1:11" x14ac:dyDescent="0.3">
      <c r="A85">
        <v>8857</v>
      </c>
      <c r="B85" t="s">
        <v>94</v>
      </c>
      <c r="C85" t="s">
        <v>10</v>
      </c>
      <c r="D85" t="s">
        <v>11</v>
      </c>
      <c r="E85">
        <v>0.966430962</v>
      </c>
      <c r="F85">
        <v>0.966430962</v>
      </c>
      <c r="G85">
        <v>3.3569094000000001E-2</v>
      </c>
      <c r="H85" t="b">
        <v>1</v>
      </c>
      <c r="I85" t="b">
        <v>0</v>
      </c>
      <c r="J85" t="b">
        <f t="shared" si="2"/>
        <v>0</v>
      </c>
      <c r="K85" t="b">
        <f t="shared" si="3"/>
        <v>1</v>
      </c>
    </row>
    <row r="86" spans="1:11" x14ac:dyDescent="0.3">
      <c r="A86">
        <v>7287</v>
      </c>
      <c r="B86" t="s">
        <v>95</v>
      </c>
      <c r="C86" t="s">
        <v>10</v>
      </c>
      <c r="D86" t="s">
        <v>11</v>
      </c>
      <c r="E86">
        <v>0.9659006</v>
      </c>
      <c r="F86">
        <v>0.9659006</v>
      </c>
      <c r="G86">
        <v>3.4099385000000003E-2</v>
      </c>
      <c r="H86" t="b">
        <v>0</v>
      </c>
      <c r="I86" t="b">
        <v>0</v>
      </c>
      <c r="J86" t="b">
        <f t="shared" si="2"/>
        <v>0</v>
      </c>
      <c r="K86" t="b">
        <f t="shared" si="3"/>
        <v>0</v>
      </c>
    </row>
    <row r="87" spans="1:11" x14ac:dyDescent="0.3">
      <c r="A87">
        <v>7580</v>
      </c>
      <c r="B87" t="s">
        <v>96</v>
      </c>
      <c r="C87" t="s">
        <v>10</v>
      </c>
      <c r="D87" t="s">
        <v>11</v>
      </c>
      <c r="E87">
        <v>0.96543902199999998</v>
      </c>
      <c r="F87">
        <v>0.96543902199999998</v>
      </c>
      <c r="G87">
        <v>3.456099E-2</v>
      </c>
      <c r="H87" t="b">
        <v>1</v>
      </c>
      <c r="I87" t="b">
        <v>0</v>
      </c>
      <c r="J87" t="b">
        <f t="shared" si="2"/>
        <v>0</v>
      </c>
      <c r="K87" t="b">
        <f t="shared" si="3"/>
        <v>1</v>
      </c>
    </row>
    <row r="88" spans="1:11" x14ac:dyDescent="0.3">
      <c r="A88">
        <v>8318</v>
      </c>
      <c r="B88" t="s">
        <v>97</v>
      </c>
      <c r="C88" t="s">
        <v>10</v>
      </c>
      <c r="D88" t="s">
        <v>11</v>
      </c>
      <c r="E88">
        <v>0.96488958599999997</v>
      </c>
      <c r="F88">
        <v>0.96488958599999997</v>
      </c>
      <c r="G88">
        <v>3.5110454999999999E-2</v>
      </c>
      <c r="H88" t="b">
        <v>1</v>
      </c>
      <c r="I88" t="b">
        <v>0</v>
      </c>
      <c r="J88" t="b">
        <f t="shared" si="2"/>
        <v>0</v>
      </c>
      <c r="K88" t="b">
        <f t="shared" si="3"/>
        <v>1</v>
      </c>
    </row>
    <row r="89" spans="1:11" x14ac:dyDescent="0.3">
      <c r="A89">
        <v>2980</v>
      </c>
      <c r="B89" t="s">
        <v>98</v>
      </c>
      <c r="C89" t="s">
        <v>10</v>
      </c>
      <c r="D89" t="s">
        <v>11</v>
      </c>
      <c r="E89">
        <v>0.96343594799999999</v>
      </c>
      <c r="F89">
        <v>0.96343594799999999</v>
      </c>
      <c r="G89">
        <v>3.6564033000000003E-2</v>
      </c>
      <c r="H89" t="b">
        <v>1</v>
      </c>
      <c r="I89" t="b">
        <v>1</v>
      </c>
      <c r="J89" t="b">
        <f t="shared" si="2"/>
        <v>1</v>
      </c>
      <c r="K89" t="b">
        <f t="shared" si="3"/>
        <v>0</v>
      </c>
    </row>
    <row r="90" spans="1:11" x14ac:dyDescent="0.3">
      <c r="A90">
        <v>4609</v>
      </c>
      <c r="B90" t="s">
        <v>99</v>
      </c>
      <c r="C90" t="s">
        <v>10</v>
      </c>
      <c r="D90" t="s">
        <v>11</v>
      </c>
      <c r="E90">
        <v>0.95999884599999996</v>
      </c>
      <c r="F90">
        <v>0.95999884599999996</v>
      </c>
      <c r="G90">
        <v>4.0001190999999998E-2</v>
      </c>
      <c r="H90" t="b">
        <v>0</v>
      </c>
      <c r="I90" t="b">
        <v>1</v>
      </c>
      <c r="J90" t="b">
        <f t="shared" si="2"/>
        <v>0</v>
      </c>
      <c r="K90" t="b">
        <f t="shared" si="3"/>
        <v>1</v>
      </c>
    </row>
    <row r="91" spans="1:11" x14ac:dyDescent="0.3">
      <c r="A91">
        <v>7328</v>
      </c>
      <c r="B91" t="s">
        <v>100</v>
      </c>
      <c r="C91" t="s">
        <v>10</v>
      </c>
      <c r="D91" t="s">
        <v>11</v>
      </c>
      <c r="E91">
        <v>0.95985919200000003</v>
      </c>
      <c r="F91">
        <v>0.95985919200000003</v>
      </c>
      <c r="G91">
        <v>4.0140825999999998E-2</v>
      </c>
      <c r="H91" t="b">
        <v>0</v>
      </c>
      <c r="I91" t="b">
        <v>0</v>
      </c>
      <c r="J91" t="b">
        <f t="shared" si="2"/>
        <v>0</v>
      </c>
      <c r="K91" t="b">
        <f t="shared" si="3"/>
        <v>0</v>
      </c>
    </row>
    <row r="92" spans="1:11" x14ac:dyDescent="0.3">
      <c r="A92">
        <v>5658</v>
      </c>
      <c r="B92" t="s">
        <v>101</v>
      </c>
      <c r="C92" t="s">
        <v>10</v>
      </c>
      <c r="D92" t="s">
        <v>11</v>
      </c>
      <c r="E92">
        <v>0.95781564699999999</v>
      </c>
      <c r="F92">
        <v>0.95781564699999999</v>
      </c>
      <c r="G92">
        <v>4.2184342E-2</v>
      </c>
      <c r="H92" t="b">
        <v>0</v>
      </c>
      <c r="I92" t="b">
        <v>1</v>
      </c>
      <c r="J92" t="b">
        <f t="shared" si="2"/>
        <v>0</v>
      </c>
      <c r="K92" t="b">
        <f t="shared" si="3"/>
        <v>1</v>
      </c>
    </row>
    <row r="93" spans="1:11" x14ac:dyDescent="0.3">
      <c r="A93">
        <v>5466</v>
      </c>
      <c r="B93" t="s">
        <v>102</v>
      </c>
      <c r="C93" t="s">
        <v>10</v>
      </c>
      <c r="D93" t="s">
        <v>11</v>
      </c>
      <c r="E93">
        <v>0.95654356500000004</v>
      </c>
      <c r="F93">
        <v>0.95654356500000004</v>
      </c>
      <c r="G93">
        <v>4.3456401999999998E-2</v>
      </c>
      <c r="H93" t="b">
        <v>0</v>
      </c>
      <c r="I93" t="b">
        <v>0</v>
      </c>
      <c r="J93" t="b">
        <f t="shared" si="2"/>
        <v>0</v>
      </c>
      <c r="K93" t="b">
        <f t="shared" si="3"/>
        <v>0</v>
      </c>
    </row>
    <row r="94" spans="1:11" x14ac:dyDescent="0.3">
      <c r="A94">
        <v>5058</v>
      </c>
      <c r="B94" t="s">
        <v>103</v>
      </c>
      <c r="C94" t="s">
        <v>10</v>
      </c>
      <c r="D94" t="s">
        <v>11</v>
      </c>
      <c r="E94">
        <v>0.95602881900000003</v>
      </c>
      <c r="F94">
        <v>0.95602881900000003</v>
      </c>
      <c r="G94">
        <v>4.3971177E-2</v>
      </c>
      <c r="H94" t="b">
        <v>0</v>
      </c>
      <c r="I94" t="b">
        <v>0</v>
      </c>
      <c r="J94" t="b">
        <f t="shared" si="2"/>
        <v>0</v>
      </c>
      <c r="K94" t="b">
        <f t="shared" si="3"/>
        <v>0</v>
      </c>
    </row>
    <row r="95" spans="1:11" x14ac:dyDescent="0.3">
      <c r="A95">
        <v>9187</v>
      </c>
      <c r="B95" t="s">
        <v>104</v>
      </c>
      <c r="C95" t="s">
        <v>10</v>
      </c>
      <c r="D95" t="s">
        <v>11</v>
      </c>
      <c r="E95">
        <v>0.95601367999999998</v>
      </c>
      <c r="F95">
        <v>0.95601367999999998</v>
      </c>
      <c r="G95">
        <v>4.3986358000000003E-2</v>
      </c>
      <c r="H95" t="b">
        <v>0</v>
      </c>
      <c r="I95" t="b">
        <v>0</v>
      </c>
      <c r="J95" t="b">
        <f t="shared" si="2"/>
        <v>0</v>
      </c>
      <c r="K95" t="b">
        <f t="shared" si="3"/>
        <v>0</v>
      </c>
    </row>
    <row r="96" spans="1:11" x14ac:dyDescent="0.3">
      <c r="A96">
        <v>2008</v>
      </c>
      <c r="B96" t="s">
        <v>105</v>
      </c>
      <c r="C96" t="s">
        <v>10</v>
      </c>
      <c r="D96" t="s">
        <v>11</v>
      </c>
      <c r="E96">
        <v>0.95348882700000004</v>
      </c>
      <c r="F96">
        <v>0.95348882700000004</v>
      </c>
      <c r="G96">
        <v>4.6511210999999997E-2</v>
      </c>
      <c r="H96" t="b">
        <v>0</v>
      </c>
      <c r="I96" t="b">
        <v>1</v>
      </c>
      <c r="J96" t="b">
        <f t="shared" si="2"/>
        <v>0</v>
      </c>
      <c r="K96" t="b">
        <f t="shared" si="3"/>
        <v>1</v>
      </c>
    </row>
    <row r="97" spans="1:11" x14ac:dyDescent="0.3">
      <c r="A97">
        <v>3810</v>
      </c>
      <c r="B97" t="s">
        <v>106</v>
      </c>
      <c r="C97" t="s">
        <v>10</v>
      </c>
      <c r="D97" t="s">
        <v>11</v>
      </c>
      <c r="E97">
        <v>0.95231950300000001</v>
      </c>
      <c r="F97">
        <v>0.95231950300000001</v>
      </c>
      <c r="G97">
        <v>4.7680478999999998E-2</v>
      </c>
      <c r="H97" t="b">
        <v>0</v>
      </c>
      <c r="I97" t="b">
        <v>1</v>
      </c>
      <c r="J97" t="b">
        <f t="shared" si="2"/>
        <v>0</v>
      </c>
      <c r="K97" t="b">
        <f t="shared" si="3"/>
        <v>1</v>
      </c>
    </row>
    <row r="98" spans="1:11" x14ac:dyDescent="0.3">
      <c r="A98">
        <v>9220</v>
      </c>
      <c r="B98" t="s">
        <v>107</v>
      </c>
      <c r="C98" t="s">
        <v>10</v>
      </c>
      <c r="D98" t="s">
        <v>11</v>
      </c>
      <c r="E98">
        <v>0.95096307999999996</v>
      </c>
      <c r="F98">
        <v>0.95096307999999996</v>
      </c>
      <c r="G98">
        <v>4.9036878999999998E-2</v>
      </c>
      <c r="H98" t="b">
        <v>0</v>
      </c>
      <c r="I98" t="b">
        <v>0</v>
      </c>
      <c r="J98" t="b">
        <f t="shared" si="2"/>
        <v>0</v>
      </c>
      <c r="K98" t="b">
        <f t="shared" si="3"/>
        <v>0</v>
      </c>
    </row>
    <row r="99" spans="1:11" x14ac:dyDescent="0.3">
      <c r="A99">
        <v>7189</v>
      </c>
      <c r="B99" t="s">
        <v>108</v>
      </c>
      <c r="C99" t="s">
        <v>10</v>
      </c>
      <c r="D99" t="s">
        <v>11</v>
      </c>
      <c r="E99">
        <v>0.94924306899999999</v>
      </c>
      <c r="F99">
        <v>0.94924306899999999</v>
      </c>
      <c r="G99">
        <v>5.0756976000000002E-2</v>
      </c>
      <c r="H99" t="b">
        <v>0</v>
      </c>
      <c r="I99" t="b">
        <v>0</v>
      </c>
      <c r="J99" t="b">
        <f t="shared" si="2"/>
        <v>0</v>
      </c>
      <c r="K99" t="b">
        <f t="shared" si="3"/>
        <v>0</v>
      </c>
    </row>
    <row r="100" spans="1:11" x14ac:dyDescent="0.3">
      <c r="A100">
        <v>8415</v>
      </c>
      <c r="B100" t="s">
        <v>109</v>
      </c>
      <c r="C100" t="s">
        <v>10</v>
      </c>
      <c r="D100" t="s">
        <v>11</v>
      </c>
      <c r="E100">
        <v>0.94577592600000004</v>
      </c>
      <c r="F100">
        <v>0.94577592600000004</v>
      </c>
      <c r="G100">
        <v>5.4224011000000003E-2</v>
      </c>
      <c r="H100" t="b">
        <v>0</v>
      </c>
      <c r="I100" t="b">
        <v>1</v>
      </c>
      <c r="J100" t="b">
        <f t="shared" si="2"/>
        <v>0</v>
      </c>
      <c r="K100" t="b">
        <f t="shared" si="3"/>
        <v>1</v>
      </c>
    </row>
    <row r="101" spans="1:11" x14ac:dyDescent="0.3">
      <c r="A101">
        <v>1846</v>
      </c>
      <c r="B101" t="s">
        <v>110</v>
      </c>
      <c r="C101" t="s">
        <v>10</v>
      </c>
      <c r="D101" t="s">
        <v>11</v>
      </c>
      <c r="E101">
        <v>0.94359970100000001</v>
      </c>
      <c r="F101">
        <v>0.94359970100000001</v>
      </c>
      <c r="G101">
        <v>5.6400343999999998E-2</v>
      </c>
      <c r="H101" t="b">
        <v>1</v>
      </c>
      <c r="I101" t="b">
        <v>1</v>
      </c>
      <c r="J101" t="b">
        <f t="shared" si="2"/>
        <v>1</v>
      </c>
      <c r="K101" t="b">
        <f t="shared" si="3"/>
        <v>0</v>
      </c>
    </row>
    <row r="102" spans="1:11" x14ac:dyDescent="0.3">
      <c r="A102">
        <v>3028</v>
      </c>
      <c r="B102" t="s">
        <v>111</v>
      </c>
      <c r="C102" t="s">
        <v>10</v>
      </c>
      <c r="D102" t="s">
        <v>11</v>
      </c>
      <c r="E102">
        <v>0.93925386700000002</v>
      </c>
      <c r="F102">
        <v>0.93925386700000002</v>
      </c>
      <c r="G102">
        <v>6.0746136999999999E-2</v>
      </c>
      <c r="H102" t="b">
        <v>0</v>
      </c>
      <c r="I102" t="b">
        <v>1</v>
      </c>
      <c r="J102" t="b">
        <f t="shared" si="2"/>
        <v>0</v>
      </c>
      <c r="K102" t="b">
        <f t="shared" si="3"/>
        <v>1</v>
      </c>
    </row>
    <row r="103" spans="1:11" x14ac:dyDescent="0.3">
      <c r="A103">
        <v>9519</v>
      </c>
      <c r="B103" t="s">
        <v>112</v>
      </c>
      <c r="C103" t="s">
        <v>10</v>
      </c>
      <c r="D103" t="s">
        <v>11</v>
      </c>
      <c r="E103">
        <v>0.93602025499999997</v>
      </c>
      <c r="F103">
        <v>0.93602025499999997</v>
      </c>
      <c r="G103">
        <v>6.3979693000000004E-2</v>
      </c>
      <c r="H103" t="b">
        <v>1</v>
      </c>
      <c r="I103" t="b">
        <v>0</v>
      </c>
      <c r="J103" t="b">
        <f t="shared" si="2"/>
        <v>0</v>
      </c>
      <c r="K103" t="b">
        <f t="shared" si="3"/>
        <v>1</v>
      </c>
    </row>
    <row r="104" spans="1:11" x14ac:dyDescent="0.3">
      <c r="A104">
        <v>5577</v>
      </c>
      <c r="B104" t="s">
        <v>113</v>
      </c>
      <c r="C104" t="s">
        <v>10</v>
      </c>
      <c r="D104" t="s">
        <v>11</v>
      </c>
      <c r="E104">
        <v>0.93510329699999994</v>
      </c>
      <c r="F104">
        <v>0.93510329699999994</v>
      </c>
      <c r="G104">
        <v>6.4896657999999996E-2</v>
      </c>
      <c r="H104" t="b">
        <v>0</v>
      </c>
      <c r="I104" t="b">
        <v>1</v>
      </c>
      <c r="J104" t="b">
        <f t="shared" si="2"/>
        <v>0</v>
      </c>
      <c r="K104" t="b">
        <f t="shared" si="3"/>
        <v>1</v>
      </c>
    </row>
    <row r="105" spans="1:11" x14ac:dyDescent="0.3">
      <c r="A105">
        <v>9387</v>
      </c>
      <c r="B105" t="s">
        <v>114</v>
      </c>
      <c r="C105" t="s">
        <v>10</v>
      </c>
      <c r="D105" t="s">
        <v>11</v>
      </c>
      <c r="E105">
        <v>0.93346643399999996</v>
      </c>
      <c r="F105">
        <v>0.93346643399999996</v>
      </c>
      <c r="G105">
        <v>6.6533618000000003E-2</v>
      </c>
      <c r="H105" t="b">
        <v>0</v>
      </c>
      <c r="I105" t="b">
        <v>0</v>
      </c>
      <c r="J105" t="b">
        <f t="shared" si="2"/>
        <v>0</v>
      </c>
      <c r="K105" t="b">
        <f t="shared" si="3"/>
        <v>0</v>
      </c>
    </row>
    <row r="106" spans="1:11" x14ac:dyDescent="0.3">
      <c r="A106">
        <v>4057</v>
      </c>
      <c r="B106" t="s">
        <v>115</v>
      </c>
      <c r="C106" t="s">
        <v>10</v>
      </c>
      <c r="D106" t="s">
        <v>11</v>
      </c>
      <c r="E106">
        <v>0.93306553400000003</v>
      </c>
      <c r="F106">
        <v>0.93306553400000003</v>
      </c>
      <c r="G106">
        <v>6.6934459000000002E-2</v>
      </c>
      <c r="H106" t="b">
        <v>1</v>
      </c>
      <c r="I106" t="b">
        <v>0</v>
      </c>
      <c r="J106" t="b">
        <f t="shared" si="2"/>
        <v>0</v>
      </c>
      <c r="K106" t="b">
        <f t="shared" si="3"/>
        <v>1</v>
      </c>
    </row>
    <row r="107" spans="1:11" x14ac:dyDescent="0.3">
      <c r="A107">
        <v>5981</v>
      </c>
      <c r="B107" t="s">
        <v>116</v>
      </c>
      <c r="C107" t="s">
        <v>10</v>
      </c>
      <c r="D107" t="s">
        <v>11</v>
      </c>
      <c r="E107">
        <v>0.93199515300000002</v>
      </c>
      <c r="F107">
        <v>0.93199515300000002</v>
      </c>
      <c r="G107">
        <v>6.8004846999999993E-2</v>
      </c>
      <c r="H107" t="b">
        <v>1</v>
      </c>
      <c r="I107" t="b">
        <v>1</v>
      </c>
      <c r="J107" t="b">
        <f t="shared" si="2"/>
        <v>1</v>
      </c>
      <c r="K107" t="b">
        <f t="shared" si="3"/>
        <v>0</v>
      </c>
    </row>
    <row r="108" spans="1:11" x14ac:dyDescent="0.3">
      <c r="A108">
        <v>9397</v>
      </c>
      <c r="B108" t="s">
        <v>117</v>
      </c>
      <c r="C108" t="s">
        <v>10</v>
      </c>
      <c r="D108" t="s">
        <v>11</v>
      </c>
      <c r="E108">
        <v>0.92665815399999996</v>
      </c>
      <c r="F108">
        <v>0.92665815399999996</v>
      </c>
      <c r="G108">
        <v>7.3341891000000006E-2</v>
      </c>
      <c r="H108" t="b">
        <v>1</v>
      </c>
      <c r="I108" t="b">
        <v>1</v>
      </c>
      <c r="J108" t="b">
        <f t="shared" si="2"/>
        <v>1</v>
      </c>
      <c r="K108" t="b">
        <f t="shared" si="3"/>
        <v>0</v>
      </c>
    </row>
    <row r="109" spans="1:11" x14ac:dyDescent="0.3">
      <c r="A109">
        <v>1276</v>
      </c>
      <c r="B109" t="s">
        <v>118</v>
      </c>
      <c r="C109" t="s">
        <v>10</v>
      </c>
      <c r="D109" t="s">
        <v>11</v>
      </c>
      <c r="E109">
        <v>0.92567658399999997</v>
      </c>
      <c r="F109">
        <v>0.92567658399999997</v>
      </c>
      <c r="G109">
        <v>7.4323423E-2</v>
      </c>
      <c r="H109" t="b">
        <v>0</v>
      </c>
      <c r="I109" t="b">
        <v>0</v>
      </c>
      <c r="J109" t="b">
        <f t="shared" si="2"/>
        <v>0</v>
      </c>
      <c r="K109" t="b">
        <f t="shared" si="3"/>
        <v>0</v>
      </c>
    </row>
    <row r="110" spans="1:11" x14ac:dyDescent="0.3">
      <c r="A110">
        <v>6438</v>
      </c>
      <c r="B110" t="s">
        <v>119</v>
      </c>
      <c r="C110" t="s">
        <v>10</v>
      </c>
      <c r="D110" t="s">
        <v>11</v>
      </c>
      <c r="E110">
        <v>0.91796034599999998</v>
      </c>
      <c r="F110">
        <v>0.91796034599999998</v>
      </c>
      <c r="G110">
        <v>8.2039646999999993E-2</v>
      </c>
      <c r="H110" t="b">
        <v>1</v>
      </c>
      <c r="I110" t="b">
        <v>0</v>
      </c>
      <c r="J110" t="b">
        <f t="shared" si="2"/>
        <v>0</v>
      </c>
      <c r="K110" t="b">
        <f t="shared" si="3"/>
        <v>1</v>
      </c>
    </row>
    <row r="111" spans="1:11" x14ac:dyDescent="0.3">
      <c r="A111">
        <v>645</v>
      </c>
      <c r="B111" t="s">
        <v>120</v>
      </c>
      <c r="C111" t="s">
        <v>10</v>
      </c>
      <c r="D111" t="s">
        <v>11</v>
      </c>
      <c r="E111">
        <v>0.91597187499999999</v>
      </c>
      <c r="F111">
        <v>0.91597187499999999</v>
      </c>
      <c r="G111">
        <v>8.4028094999999997E-2</v>
      </c>
      <c r="H111" t="b">
        <v>1</v>
      </c>
      <c r="I111" t="b">
        <v>1</v>
      </c>
      <c r="J111" t="b">
        <f t="shared" si="2"/>
        <v>1</v>
      </c>
      <c r="K111" t="b">
        <f t="shared" si="3"/>
        <v>0</v>
      </c>
    </row>
    <row r="112" spans="1:11" x14ac:dyDescent="0.3">
      <c r="A112">
        <v>5345</v>
      </c>
      <c r="B112" t="s">
        <v>121</v>
      </c>
      <c r="C112" t="s">
        <v>10</v>
      </c>
      <c r="D112" t="s">
        <v>11</v>
      </c>
      <c r="E112">
        <v>0.91492342900000001</v>
      </c>
      <c r="F112">
        <v>0.91492342900000001</v>
      </c>
      <c r="G112">
        <v>8.5076541000000006E-2</v>
      </c>
      <c r="H112" t="b">
        <v>0</v>
      </c>
      <c r="I112" t="b">
        <v>1</v>
      </c>
      <c r="J112" t="b">
        <f t="shared" si="2"/>
        <v>0</v>
      </c>
      <c r="K112" t="b">
        <f t="shared" si="3"/>
        <v>1</v>
      </c>
    </row>
    <row r="113" spans="1:11" x14ac:dyDescent="0.3">
      <c r="A113">
        <v>578</v>
      </c>
      <c r="B113" t="s">
        <v>122</v>
      </c>
      <c r="C113" t="s">
        <v>10</v>
      </c>
      <c r="D113" t="s">
        <v>11</v>
      </c>
      <c r="E113">
        <v>0.91277158300000005</v>
      </c>
      <c r="F113">
        <v>0.91277158300000005</v>
      </c>
      <c r="G113">
        <v>8.7228431999999995E-2</v>
      </c>
      <c r="H113" t="b">
        <v>1</v>
      </c>
      <c r="I113" t="b">
        <v>0</v>
      </c>
      <c r="J113" t="b">
        <f t="shared" si="2"/>
        <v>0</v>
      </c>
      <c r="K113" t="b">
        <f t="shared" si="3"/>
        <v>1</v>
      </c>
    </row>
    <row r="114" spans="1:11" x14ac:dyDescent="0.3">
      <c r="A114">
        <v>7694</v>
      </c>
      <c r="B114" t="s">
        <v>123</v>
      </c>
      <c r="C114" t="s">
        <v>10</v>
      </c>
      <c r="D114" t="s">
        <v>11</v>
      </c>
      <c r="E114">
        <v>0.91144329300000004</v>
      </c>
      <c r="F114">
        <v>0.91144329300000004</v>
      </c>
      <c r="G114">
        <v>8.8556684999999996E-2</v>
      </c>
      <c r="H114" t="b">
        <v>0</v>
      </c>
      <c r="I114" t="b">
        <v>1</v>
      </c>
      <c r="J114" t="b">
        <f t="shared" si="2"/>
        <v>0</v>
      </c>
      <c r="K114" t="b">
        <f t="shared" si="3"/>
        <v>1</v>
      </c>
    </row>
    <row r="115" spans="1:11" x14ac:dyDescent="0.3">
      <c r="A115">
        <v>2387</v>
      </c>
      <c r="B115" t="s">
        <v>124</v>
      </c>
      <c r="C115" t="s">
        <v>10</v>
      </c>
      <c r="D115" t="s">
        <v>11</v>
      </c>
      <c r="E115">
        <v>0.91073471299999997</v>
      </c>
      <c r="F115">
        <v>0.91073471299999997</v>
      </c>
      <c r="G115">
        <v>8.9265264999999996E-2</v>
      </c>
      <c r="H115" t="b">
        <v>0</v>
      </c>
      <c r="I115" t="b">
        <v>0</v>
      </c>
      <c r="J115" t="b">
        <f t="shared" si="2"/>
        <v>0</v>
      </c>
      <c r="K115" t="b">
        <f t="shared" si="3"/>
        <v>0</v>
      </c>
    </row>
    <row r="116" spans="1:11" x14ac:dyDescent="0.3">
      <c r="A116">
        <v>4618</v>
      </c>
      <c r="B116" t="s">
        <v>125</v>
      </c>
      <c r="C116" t="s">
        <v>10</v>
      </c>
      <c r="D116" t="s">
        <v>11</v>
      </c>
      <c r="E116">
        <v>0.91068249899999998</v>
      </c>
      <c r="F116">
        <v>0.91068249899999998</v>
      </c>
      <c r="G116">
        <v>8.9317470999999996E-2</v>
      </c>
      <c r="H116" t="b">
        <v>1</v>
      </c>
      <c r="I116" t="b">
        <v>0</v>
      </c>
      <c r="J116" t="b">
        <f t="shared" si="2"/>
        <v>0</v>
      </c>
      <c r="K116" t="b">
        <f t="shared" si="3"/>
        <v>1</v>
      </c>
    </row>
    <row r="117" spans="1:11" x14ac:dyDescent="0.3">
      <c r="A117">
        <v>3007</v>
      </c>
      <c r="B117" t="s">
        <v>126</v>
      </c>
      <c r="C117" t="s">
        <v>10</v>
      </c>
      <c r="D117" t="s">
        <v>11</v>
      </c>
      <c r="E117">
        <v>0.90731793599999999</v>
      </c>
      <c r="F117">
        <v>0.90731793599999999</v>
      </c>
      <c r="G117">
        <v>9.2682107999999999E-2</v>
      </c>
      <c r="H117" t="b">
        <v>1</v>
      </c>
      <c r="I117" t="b">
        <v>1</v>
      </c>
      <c r="J117" t="b">
        <f t="shared" si="2"/>
        <v>1</v>
      </c>
      <c r="K117" t="b">
        <f t="shared" si="3"/>
        <v>0</v>
      </c>
    </row>
    <row r="118" spans="1:11" x14ac:dyDescent="0.3">
      <c r="A118">
        <v>3108</v>
      </c>
      <c r="B118" t="s">
        <v>127</v>
      </c>
      <c r="C118" t="s">
        <v>10</v>
      </c>
      <c r="D118" t="s">
        <v>11</v>
      </c>
      <c r="E118">
        <v>0.90318489099999999</v>
      </c>
      <c r="F118">
        <v>0.90318489099999999</v>
      </c>
      <c r="G118">
        <v>9.6815056999999996E-2</v>
      </c>
      <c r="H118" t="b">
        <v>1</v>
      </c>
      <c r="I118" t="b">
        <v>0</v>
      </c>
      <c r="J118" t="b">
        <f t="shared" si="2"/>
        <v>0</v>
      </c>
      <c r="K118" t="b">
        <f t="shared" si="3"/>
        <v>1</v>
      </c>
    </row>
    <row r="119" spans="1:11" x14ac:dyDescent="0.3">
      <c r="A119">
        <v>8451</v>
      </c>
      <c r="B119" t="s">
        <v>128</v>
      </c>
      <c r="C119" t="s">
        <v>10</v>
      </c>
      <c r="D119" t="s">
        <v>11</v>
      </c>
      <c r="E119">
        <v>0.89482152500000001</v>
      </c>
      <c r="F119">
        <v>0.89482152500000001</v>
      </c>
      <c r="G119">
        <v>0.105178438</v>
      </c>
      <c r="H119" t="b">
        <v>0</v>
      </c>
      <c r="I119" t="b">
        <v>0</v>
      </c>
      <c r="J119" t="b">
        <f t="shared" si="2"/>
        <v>0</v>
      </c>
      <c r="K119" t="b">
        <f t="shared" si="3"/>
        <v>0</v>
      </c>
    </row>
    <row r="120" spans="1:11" x14ac:dyDescent="0.3">
      <c r="A120">
        <v>9615</v>
      </c>
      <c r="B120" t="s">
        <v>129</v>
      </c>
      <c r="C120" t="s">
        <v>10</v>
      </c>
      <c r="D120" t="s">
        <v>11</v>
      </c>
      <c r="E120">
        <v>0.89408552600000002</v>
      </c>
      <c r="F120">
        <v>0.89408552600000002</v>
      </c>
      <c r="G120">
        <v>0.105914511</v>
      </c>
      <c r="H120" t="b">
        <v>0</v>
      </c>
      <c r="I120" t="b">
        <v>0</v>
      </c>
      <c r="J120" t="b">
        <f t="shared" si="2"/>
        <v>0</v>
      </c>
      <c r="K120" t="b">
        <f t="shared" si="3"/>
        <v>0</v>
      </c>
    </row>
    <row r="121" spans="1:11" x14ac:dyDescent="0.3">
      <c r="A121">
        <v>10084</v>
      </c>
      <c r="B121" t="s">
        <v>130</v>
      </c>
      <c r="C121" t="s">
        <v>10</v>
      </c>
      <c r="D121" t="s">
        <v>11</v>
      </c>
      <c r="E121">
        <v>0.88186019699999996</v>
      </c>
      <c r="F121">
        <v>0.88186019699999996</v>
      </c>
      <c r="G121">
        <v>0.11813979600000001</v>
      </c>
      <c r="H121" t="b">
        <v>0</v>
      </c>
      <c r="I121" t="b">
        <v>0</v>
      </c>
      <c r="J121" t="b">
        <f t="shared" si="2"/>
        <v>0</v>
      </c>
      <c r="K121" t="b">
        <f t="shared" si="3"/>
        <v>0</v>
      </c>
    </row>
    <row r="122" spans="1:11" x14ac:dyDescent="0.3">
      <c r="A122">
        <v>9002</v>
      </c>
      <c r="B122" t="s">
        <v>131</v>
      </c>
      <c r="C122" t="s">
        <v>10</v>
      </c>
      <c r="D122" t="s">
        <v>11</v>
      </c>
      <c r="E122">
        <v>0.87877970900000002</v>
      </c>
      <c r="F122">
        <v>0.87877970900000002</v>
      </c>
      <c r="G122">
        <v>0.121220335</v>
      </c>
      <c r="H122" t="b">
        <v>1</v>
      </c>
      <c r="I122" t="b">
        <v>1</v>
      </c>
      <c r="J122" t="b">
        <f t="shared" si="2"/>
        <v>1</v>
      </c>
      <c r="K122" t="b">
        <f t="shared" si="3"/>
        <v>0</v>
      </c>
    </row>
    <row r="123" spans="1:11" x14ac:dyDescent="0.3">
      <c r="A123">
        <v>3245</v>
      </c>
      <c r="B123" t="s">
        <v>132</v>
      </c>
      <c r="C123" t="s">
        <v>10</v>
      </c>
      <c r="D123" t="s">
        <v>11</v>
      </c>
      <c r="E123">
        <v>0.87109959100000001</v>
      </c>
      <c r="F123">
        <v>0.87109959100000001</v>
      </c>
      <c r="G123">
        <v>0.12890037900000001</v>
      </c>
      <c r="H123" t="b">
        <v>1</v>
      </c>
      <c r="I123" t="b">
        <v>1</v>
      </c>
      <c r="J123" t="b">
        <f t="shared" si="2"/>
        <v>1</v>
      </c>
      <c r="K123" t="b">
        <f t="shared" si="3"/>
        <v>0</v>
      </c>
    </row>
    <row r="124" spans="1:11" x14ac:dyDescent="0.3">
      <c r="A124">
        <v>9882</v>
      </c>
      <c r="B124" t="s">
        <v>133</v>
      </c>
      <c r="C124" t="s">
        <v>10</v>
      </c>
      <c r="D124" t="s">
        <v>11</v>
      </c>
      <c r="E124">
        <v>0.86545509099999995</v>
      </c>
      <c r="F124">
        <v>0.86545509099999995</v>
      </c>
      <c r="G124">
        <v>0.13454484899999999</v>
      </c>
      <c r="H124" t="b">
        <v>0</v>
      </c>
      <c r="I124" t="b">
        <v>0</v>
      </c>
      <c r="J124" t="b">
        <f t="shared" si="2"/>
        <v>0</v>
      </c>
      <c r="K124" t="b">
        <f t="shared" si="3"/>
        <v>0</v>
      </c>
    </row>
    <row r="125" spans="1:11" x14ac:dyDescent="0.3">
      <c r="A125">
        <v>1520</v>
      </c>
      <c r="B125" t="s">
        <v>134</v>
      </c>
      <c r="C125" t="s">
        <v>10</v>
      </c>
      <c r="D125" t="s">
        <v>11</v>
      </c>
      <c r="E125">
        <v>0.85982882999999999</v>
      </c>
      <c r="F125">
        <v>0.85982882999999999</v>
      </c>
      <c r="G125">
        <v>0.14017114</v>
      </c>
      <c r="H125" t="b">
        <v>0</v>
      </c>
      <c r="I125" t="b">
        <v>0</v>
      </c>
      <c r="J125" t="b">
        <f t="shared" si="2"/>
        <v>0</v>
      </c>
      <c r="K125" t="b">
        <f t="shared" si="3"/>
        <v>0</v>
      </c>
    </row>
    <row r="126" spans="1:11" x14ac:dyDescent="0.3">
      <c r="A126">
        <v>8566</v>
      </c>
      <c r="B126" t="s">
        <v>135</v>
      </c>
      <c r="C126" t="s">
        <v>10</v>
      </c>
      <c r="D126" t="s">
        <v>11</v>
      </c>
      <c r="E126">
        <v>0.85470897000000001</v>
      </c>
      <c r="F126">
        <v>0.85470897000000001</v>
      </c>
      <c r="G126">
        <v>0.14529106</v>
      </c>
      <c r="H126" t="b">
        <v>0</v>
      </c>
      <c r="I126" t="b">
        <v>0</v>
      </c>
      <c r="J126" t="b">
        <f t="shared" si="2"/>
        <v>0</v>
      </c>
      <c r="K126" t="b">
        <f t="shared" si="3"/>
        <v>0</v>
      </c>
    </row>
    <row r="127" spans="1:11" x14ac:dyDescent="0.3">
      <c r="A127">
        <v>10310</v>
      </c>
      <c r="B127" t="s">
        <v>136</v>
      </c>
      <c r="C127" t="s">
        <v>10</v>
      </c>
      <c r="D127" t="s">
        <v>11</v>
      </c>
      <c r="E127">
        <v>0.85074406899999999</v>
      </c>
      <c r="F127">
        <v>0.85074406899999999</v>
      </c>
      <c r="G127">
        <v>0.14925591599999999</v>
      </c>
      <c r="H127" t="b">
        <v>0</v>
      </c>
      <c r="I127" t="b">
        <v>0</v>
      </c>
      <c r="J127" t="b">
        <f t="shared" si="2"/>
        <v>0</v>
      </c>
      <c r="K127" t="b">
        <f t="shared" si="3"/>
        <v>0</v>
      </c>
    </row>
    <row r="128" spans="1:11" x14ac:dyDescent="0.3">
      <c r="A128">
        <v>4815</v>
      </c>
      <c r="B128" t="s">
        <v>137</v>
      </c>
      <c r="C128" t="s">
        <v>10</v>
      </c>
      <c r="D128" t="s">
        <v>11</v>
      </c>
      <c r="E128">
        <v>0.84285754000000002</v>
      </c>
      <c r="F128">
        <v>0.84285754000000002</v>
      </c>
      <c r="G128">
        <v>0.15714246000000001</v>
      </c>
      <c r="H128" t="b">
        <v>0</v>
      </c>
      <c r="I128" t="b">
        <v>0</v>
      </c>
      <c r="J128" t="b">
        <f t="shared" si="2"/>
        <v>0</v>
      </c>
      <c r="K128" t="b">
        <f t="shared" si="3"/>
        <v>0</v>
      </c>
    </row>
    <row r="129" spans="1:11" x14ac:dyDescent="0.3">
      <c r="A129">
        <v>4477</v>
      </c>
      <c r="B129" t="s">
        <v>138</v>
      </c>
      <c r="C129" t="s">
        <v>10</v>
      </c>
      <c r="D129" t="s">
        <v>11</v>
      </c>
      <c r="E129">
        <v>0.83879202600000002</v>
      </c>
      <c r="F129">
        <v>0.83879202600000002</v>
      </c>
      <c r="G129">
        <v>0.16120794399999999</v>
      </c>
      <c r="H129" t="b">
        <v>0</v>
      </c>
      <c r="I129" t="b">
        <v>0</v>
      </c>
      <c r="J129" t="b">
        <f t="shared" si="2"/>
        <v>0</v>
      </c>
      <c r="K129" t="b">
        <f t="shared" si="3"/>
        <v>0</v>
      </c>
    </row>
    <row r="130" spans="1:11" x14ac:dyDescent="0.3">
      <c r="A130">
        <v>4209</v>
      </c>
      <c r="B130" t="s">
        <v>139</v>
      </c>
      <c r="C130" t="s">
        <v>10</v>
      </c>
      <c r="D130" t="s">
        <v>11</v>
      </c>
      <c r="E130">
        <v>0.83173978299999995</v>
      </c>
      <c r="F130">
        <v>0.83173978299999995</v>
      </c>
      <c r="G130">
        <v>0.16826026099999999</v>
      </c>
      <c r="H130" t="b">
        <v>0</v>
      </c>
      <c r="I130" t="b">
        <v>0</v>
      </c>
      <c r="J130" t="b">
        <f t="shared" si="2"/>
        <v>0</v>
      </c>
      <c r="K130" t="b">
        <f t="shared" si="3"/>
        <v>0</v>
      </c>
    </row>
    <row r="131" spans="1:11" x14ac:dyDescent="0.3">
      <c r="A131">
        <v>10044</v>
      </c>
      <c r="B131" t="s">
        <v>140</v>
      </c>
      <c r="C131" t="s">
        <v>10</v>
      </c>
      <c r="D131" t="s">
        <v>11</v>
      </c>
      <c r="E131">
        <v>0.81778371299999997</v>
      </c>
      <c r="F131">
        <v>0.81778371299999997</v>
      </c>
      <c r="G131">
        <v>0.182216242</v>
      </c>
      <c r="H131" t="b">
        <v>0</v>
      </c>
      <c r="I131" t="b">
        <v>0</v>
      </c>
      <c r="J131" t="b">
        <f t="shared" ref="J131:J142" si="4">AND(H131:I131)</f>
        <v>0</v>
      </c>
      <c r="K131" t="b">
        <f t="shared" ref="K131:K142" si="5">NOT(H131=I131)</f>
        <v>0</v>
      </c>
    </row>
    <row r="132" spans="1:11" x14ac:dyDescent="0.3">
      <c r="A132">
        <v>9009</v>
      </c>
      <c r="B132" t="s">
        <v>141</v>
      </c>
      <c r="C132" t="s">
        <v>10</v>
      </c>
      <c r="D132" t="s">
        <v>11</v>
      </c>
      <c r="E132">
        <v>0.811637104</v>
      </c>
      <c r="F132">
        <v>0.811637104</v>
      </c>
      <c r="G132">
        <v>0.18836288200000001</v>
      </c>
      <c r="H132" t="b">
        <v>1</v>
      </c>
      <c r="I132" t="b">
        <v>0</v>
      </c>
      <c r="J132" t="b">
        <f t="shared" si="4"/>
        <v>0</v>
      </c>
      <c r="K132" t="b">
        <f t="shared" si="5"/>
        <v>1</v>
      </c>
    </row>
    <row r="133" spans="1:11" x14ac:dyDescent="0.3">
      <c r="A133">
        <v>182</v>
      </c>
      <c r="B133" t="s">
        <v>142</v>
      </c>
      <c r="C133" t="s">
        <v>10</v>
      </c>
      <c r="D133" t="s">
        <v>11</v>
      </c>
      <c r="E133">
        <v>0.80585646600000005</v>
      </c>
      <c r="F133">
        <v>0.80585646600000005</v>
      </c>
      <c r="G133">
        <v>0.19414350399999999</v>
      </c>
      <c r="H133" t="b">
        <v>1</v>
      </c>
      <c r="I133" t="b">
        <v>1</v>
      </c>
      <c r="J133" t="b">
        <f t="shared" si="4"/>
        <v>1</v>
      </c>
      <c r="K133" t="b">
        <f t="shared" si="5"/>
        <v>0</v>
      </c>
    </row>
    <row r="134" spans="1:11" x14ac:dyDescent="0.3">
      <c r="A134">
        <v>6918</v>
      </c>
      <c r="B134" t="s">
        <v>143</v>
      </c>
      <c r="C134" t="s">
        <v>10</v>
      </c>
      <c r="D134" t="s">
        <v>11</v>
      </c>
      <c r="E134">
        <v>0.80100947600000005</v>
      </c>
      <c r="F134">
        <v>0.80100947600000005</v>
      </c>
      <c r="G134">
        <v>0.19899053899999999</v>
      </c>
      <c r="H134" t="b">
        <v>0</v>
      </c>
      <c r="I134" t="b">
        <v>0</v>
      </c>
      <c r="J134" t="b">
        <f t="shared" si="4"/>
        <v>0</v>
      </c>
      <c r="K134" t="b">
        <f t="shared" si="5"/>
        <v>0</v>
      </c>
    </row>
    <row r="135" spans="1:11" x14ac:dyDescent="0.3">
      <c r="A135">
        <v>8360</v>
      </c>
      <c r="B135" t="s">
        <v>144</v>
      </c>
      <c r="C135" t="s">
        <v>10</v>
      </c>
      <c r="D135" t="s">
        <v>11</v>
      </c>
      <c r="E135">
        <v>0.77982640299999995</v>
      </c>
      <c r="F135">
        <v>0.77982640299999995</v>
      </c>
      <c r="G135">
        <v>0.220173597</v>
      </c>
      <c r="H135" t="b">
        <v>0</v>
      </c>
      <c r="I135" t="b">
        <v>0</v>
      </c>
      <c r="J135" t="b">
        <f t="shared" si="4"/>
        <v>0</v>
      </c>
      <c r="K135" t="b">
        <f t="shared" si="5"/>
        <v>0</v>
      </c>
    </row>
    <row r="136" spans="1:11" x14ac:dyDescent="0.3">
      <c r="A136">
        <v>8405</v>
      </c>
      <c r="B136" t="s">
        <v>145</v>
      </c>
      <c r="C136" t="s">
        <v>10</v>
      </c>
      <c r="D136" t="s">
        <v>11</v>
      </c>
      <c r="E136">
        <v>0.70152568800000004</v>
      </c>
      <c r="F136">
        <v>0.70152568800000004</v>
      </c>
      <c r="G136">
        <v>0.29847428199999998</v>
      </c>
      <c r="H136" t="b">
        <v>0</v>
      </c>
      <c r="I136" t="b">
        <v>1</v>
      </c>
      <c r="J136" t="b">
        <f t="shared" si="4"/>
        <v>0</v>
      </c>
      <c r="K136" t="b">
        <f t="shared" si="5"/>
        <v>1</v>
      </c>
    </row>
    <row r="137" spans="1:11" x14ac:dyDescent="0.3">
      <c r="A137">
        <v>7632</v>
      </c>
      <c r="B137" t="s">
        <v>146</v>
      </c>
      <c r="C137" t="s">
        <v>10</v>
      </c>
      <c r="D137" t="s">
        <v>11</v>
      </c>
      <c r="E137">
        <v>0.69871401799999999</v>
      </c>
      <c r="F137">
        <v>0.69871401799999999</v>
      </c>
      <c r="G137">
        <v>0.30128598200000001</v>
      </c>
      <c r="H137" t="b">
        <v>0</v>
      </c>
      <c r="I137" t="b">
        <v>0</v>
      </c>
      <c r="J137" t="b">
        <f t="shared" si="4"/>
        <v>0</v>
      </c>
      <c r="K137" t="b">
        <f t="shared" si="5"/>
        <v>0</v>
      </c>
    </row>
    <row r="138" spans="1:11" x14ac:dyDescent="0.3">
      <c r="A138">
        <v>3294</v>
      </c>
      <c r="B138" t="s">
        <v>147</v>
      </c>
      <c r="C138" t="s">
        <v>10</v>
      </c>
      <c r="D138" t="s">
        <v>11</v>
      </c>
      <c r="E138">
        <v>0.692420602</v>
      </c>
      <c r="F138">
        <v>0.692420602</v>
      </c>
      <c r="G138">
        <v>0.30757933900000001</v>
      </c>
      <c r="H138" t="b">
        <v>0</v>
      </c>
      <c r="I138" t="b">
        <v>0</v>
      </c>
      <c r="J138" t="b">
        <f t="shared" si="4"/>
        <v>0</v>
      </c>
      <c r="K138" t="b">
        <f t="shared" si="5"/>
        <v>0</v>
      </c>
    </row>
    <row r="139" spans="1:11" x14ac:dyDescent="0.3">
      <c r="A139">
        <v>5112</v>
      </c>
      <c r="B139" t="s">
        <v>148</v>
      </c>
      <c r="C139" t="s">
        <v>10</v>
      </c>
      <c r="D139" t="s">
        <v>11</v>
      </c>
      <c r="E139">
        <v>0.68557947900000005</v>
      </c>
      <c r="F139">
        <v>0.68557947900000005</v>
      </c>
      <c r="G139">
        <v>0.31442049100000002</v>
      </c>
      <c r="H139" t="b">
        <v>1</v>
      </c>
      <c r="I139" t="b">
        <v>1</v>
      </c>
      <c r="J139" t="b">
        <f t="shared" si="4"/>
        <v>1</v>
      </c>
      <c r="K139" t="b">
        <f t="shared" si="5"/>
        <v>0</v>
      </c>
    </row>
    <row r="140" spans="1:11" x14ac:dyDescent="0.3">
      <c r="A140">
        <v>5982</v>
      </c>
      <c r="B140" t="s">
        <v>149</v>
      </c>
      <c r="C140" t="s">
        <v>10</v>
      </c>
      <c r="D140" t="s">
        <v>11</v>
      </c>
      <c r="E140">
        <v>0.60612982500000001</v>
      </c>
      <c r="F140">
        <v>0.60612982500000001</v>
      </c>
      <c r="G140">
        <v>0.39387011500000002</v>
      </c>
      <c r="H140" t="b">
        <v>1</v>
      </c>
      <c r="I140" t="b">
        <v>0</v>
      </c>
      <c r="J140" t="b">
        <f t="shared" si="4"/>
        <v>0</v>
      </c>
      <c r="K140" t="b">
        <f t="shared" si="5"/>
        <v>1</v>
      </c>
    </row>
    <row r="141" spans="1:11" x14ac:dyDescent="0.3">
      <c r="A141">
        <v>829</v>
      </c>
      <c r="B141" t="s">
        <v>150</v>
      </c>
      <c r="C141" t="s">
        <v>10</v>
      </c>
      <c r="D141" t="s">
        <v>11</v>
      </c>
      <c r="E141">
        <v>0.60313797000000002</v>
      </c>
      <c r="F141">
        <v>0.60313797000000002</v>
      </c>
      <c r="G141">
        <v>0.39686199999999999</v>
      </c>
      <c r="H141" t="b">
        <v>1</v>
      </c>
      <c r="I141" t="b">
        <v>1</v>
      </c>
      <c r="J141" t="b">
        <f t="shared" si="4"/>
        <v>1</v>
      </c>
      <c r="K141" t="b">
        <f t="shared" si="5"/>
        <v>0</v>
      </c>
    </row>
    <row r="142" spans="1:11" x14ac:dyDescent="0.3">
      <c r="A142">
        <v>8861</v>
      </c>
      <c r="B142" t="s">
        <v>151</v>
      </c>
      <c r="C142" t="s">
        <v>10</v>
      </c>
      <c r="D142" t="s">
        <v>11</v>
      </c>
      <c r="E142">
        <v>0.58145988000000004</v>
      </c>
      <c r="F142">
        <v>0.58145988000000004</v>
      </c>
      <c r="G142">
        <v>0.41854015</v>
      </c>
      <c r="H142" t="b">
        <v>0</v>
      </c>
      <c r="I142" t="b">
        <v>0</v>
      </c>
      <c r="J142" t="b">
        <f t="shared" si="4"/>
        <v>0</v>
      </c>
      <c r="K142" t="b">
        <f t="shared" si="5"/>
        <v>0</v>
      </c>
    </row>
    <row r="143" spans="1:11" x14ac:dyDescent="0.3">
      <c r="A143" s="3" t="s">
        <v>152</v>
      </c>
      <c r="B143" s="3"/>
      <c r="C143" s="3"/>
      <c r="D143" s="3"/>
      <c r="E143" s="3"/>
      <c r="F143" s="3"/>
      <c r="G143" s="3">
        <v>141</v>
      </c>
      <c r="H143" s="3">
        <v>72</v>
      </c>
      <c r="I143" s="3">
        <v>61</v>
      </c>
      <c r="J143" s="3">
        <f>COUNTIF(J2:J142,TRUE)</f>
        <v>46</v>
      </c>
      <c r="K143" s="3">
        <f>COUNTIF(K2:K142,TRUE)</f>
        <v>41</v>
      </c>
    </row>
    <row r="145" spans="2:5" x14ac:dyDescent="0.3">
      <c r="C145" s="2" t="s">
        <v>160</v>
      </c>
      <c r="D145" s="2" t="s">
        <v>161</v>
      </c>
    </row>
    <row r="146" spans="2:5" x14ac:dyDescent="0.3">
      <c r="B146" t="s">
        <v>157</v>
      </c>
      <c r="C146" s="5">
        <f>H143/G143</f>
        <v>0.51063829787234039</v>
      </c>
      <c r="D146" s="4">
        <f>H143</f>
        <v>72</v>
      </c>
      <c r="E146" t="s">
        <v>153</v>
      </c>
    </row>
    <row r="147" spans="2:5" x14ac:dyDescent="0.3">
      <c r="B147" t="s">
        <v>158</v>
      </c>
      <c r="C147" s="5">
        <f>I143/G143</f>
        <v>0.43262411347517732</v>
      </c>
      <c r="D147" s="4">
        <f>I143</f>
        <v>61</v>
      </c>
      <c r="E147" t="s">
        <v>154</v>
      </c>
    </row>
    <row r="148" spans="2:5" x14ac:dyDescent="0.3">
      <c r="B148" t="s">
        <v>159</v>
      </c>
      <c r="C148" s="5">
        <f>J143/G143</f>
        <v>0.32624113475177308</v>
      </c>
      <c r="D148" s="4">
        <f>J143</f>
        <v>46</v>
      </c>
      <c r="E148" t="s">
        <v>155</v>
      </c>
    </row>
    <row r="150" spans="2:5" x14ac:dyDescent="0.3">
      <c r="C150" s="1"/>
    </row>
    <row r="151" spans="2:5" x14ac:dyDescent="0.3">
      <c r="C151" s="1"/>
    </row>
    <row r="152" spans="2:5" x14ac:dyDescent="0.3">
      <c r="C1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camelbert_seed42_FN_Annotated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Mohammad Alhawarat</cp:lastModifiedBy>
  <dcterms:created xsi:type="dcterms:W3CDTF">2025-12-08T18:40:23Z</dcterms:created>
  <dcterms:modified xsi:type="dcterms:W3CDTF">2025-12-08T19:58:30Z</dcterms:modified>
</cp:coreProperties>
</file>