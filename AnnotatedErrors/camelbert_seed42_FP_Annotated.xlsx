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mmanuedujo0-my.sharepoint.com/personal/10659_ammanu_edu_jo/Documents/Research/ICETES2026/Ensemble Learning for Arabic Sentiment Analysis/Revised Paper/Results/"/>
    </mc:Choice>
  </mc:AlternateContent>
  <xr:revisionPtr revIDLastSave="15" documentId="13_ncr:1_{65235F42-02B4-4B57-9CBE-AC81E8926583}" xr6:coauthVersionLast="47" xr6:coauthVersionMax="47" xr10:uidLastSave="{0B6D9912-1344-4EFF-94B1-7B33062A54CC}"/>
  <bookViews>
    <workbookView xWindow="-108" yWindow="-108" windowWidth="23256" windowHeight="12576" xr2:uid="{DEAF31ED-171E-40E2-8153-5AD08B4659B8}"/>
  </bookViews>
  <sheets>
    <sheet name="camelbert_seed42_false_positiv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6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 i="1"/>
  <c r="I263" i="1"/>
  <c r="J263" i="1"/>
  <c r="H26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 i="1"/>
  <c r="I262" i="1"/>
  <c r="C266" i="1" s="1"/>
  <c r="H262" i="1"/>
  <c r="D265" i="1" s="1"/>
  <c r="J262" i="1" l="1"/>
  <c r="C265" i="1"/>
  <c r="D266" i="1"/>
  <c r="C267" i="1" l="1"/>
  <c r="D267" i="1"/>
</calcChain>
</file>

<file path=xl/sharedStrings.xml><?xml version="1.0" encoding="utf-8"?>
<sst xmlns="http://schemas.openxmlformats.org/spreadsheetml/2006/main" count="801" uniqueCount="283">
  <si>
    <t>index</t>
  </si>
  <si>
    <t>review</t>
  </si>
  <si>
    <t>true_label</t>
  </si>
  <si>
    <t>predicted_label</t>
  </si>
  <si>
    <t>confidence</t>
  </si>
  <si>
    <t>prob_negative</t>
  </si>
  <si>
    <t>prob_positive</t>
  </si>
  <si>
    <t>“ممتاز”. I ts very good hotel and they have good team resption spetaily ( cristian ) she was very kind and helpful for us ... i suggest to visit it. فقط الصعود الي الطابق الثاني للاستعلامات</t>
  </si>
  <si>
    <t>Negative</t>
  </si>
  <si>
    <t>Positive</t>
  </si>
  <si>
    <t>“تمنيت انه يكون خيار ثاني!”. الفندق جديدالطاقم متعاونالاستقبال جيدالاثاث جيد. الفطور محدود جدا والاكل مافيه اجتهاد او يحمسكرائحه المطاعم وخاصه كنتاكي ملحوظه في الغرف ( سكنت بغرفتين ) وكلها نفس الريحه تجي احياناكان فيه مشكله بالكهرب وانطفا بالغرفه مافي خدمات قريبه مثل البقاله او مغسله ملابس كل القريب منك مطاعمالسعر مبالغ فيه مقابل الفندق وخدماتهمافيه مويا دافيه بالشور !ازعاج القطار احيانا عند المرورمافيه فرن او مكرويف او اي اداه تسخين غير الغلايه !</t>
  </si>
  <si>
    <t>“راقي وجميل”. اخذت غرفه فيها بلكونه لكن اثاثها جدا عادي واخذت الغرفه الاخري بدون بلكونه غرفه كلها قزاز علي البحر وبرج العرب اثاثه جميل جدا فاخر منتجع جميل جدااا. التشيك ان يتاخر من الزحمه</t>
  </si>
  <si>
    <t>“حياه ريجينسي اسلوب حياه”. كان العشاء جميلا وكان الشيف نوبي ذو حبره عاليه في اعداد الطعام وكذلك الاستاذ محمد كرزازي متفاهم ومنفني جدا في تسيهيل العقبات فلهم كل الشكر حيث سهل. فقط اعطاء الضيف امكانيه تحويل نوع الوجبه الممنوحه له سواء من افطار الي عشاء اوغداء</t>
  </si>
  <si>
    <t>“فندق مريح ومميز”. الفندق كل شي فيه جميل ومميز.</t>
  </si>
  <si>
    <t>“فندق يستحق التجربه”. هدوء وراحه ونظافه وخدمه ممتازه ومواقف للسيارات وقيمه معقوله. لا شي</t>
  </si>
  <si>
    <t>“ساكرر السكن بهذا الفندق المويح”. كل شيء ممتاز الموقع من اقرب الفنادق للحرم الافطار متنوع تعامل الموظفين في تسجيل الدخول والخروج سرعه الاستجابه للطلبات. الدور الثالث كانت به اعمال صيانه رائحه غري وبويه والممرات بدون فرش</t>
  </si>
  <si>
    <t>“شكرا جزيلا”. قرب الموقع من الحرم والتعامل الطيف من موظفي الاستقبال واخص بالاستاذ / سالم الحربي بالمامه وارشاده لنا باسلوب راقي جدا شكرا لكل القائمين علي راحه المسلمين.</t>
  </si>
  <si>
    <t>“لا يوجد”. فقط لقربه من الحرم ومعامله طاقم العمل الممتازه 👍. سجاد الغرفه متسخ الحمام صغير المناشف باليه لا يوجد عازل الصوت بين الغرفه والغرفه التي بجانبها لدرجه اذا عطس جارك ترد عليه رحمك الله ياهذا كانه بجانبك وهذا من السلبيات الكبيره تحياتي .</t>
  </si>
  <si>
    <t>“اقامت لم تكن جيده في هذه الشقق”. الشباب السعودي بالاستقبال جميعهم بلا استثناء قمه الرقي والاخلاق الحرص منهم علي راحتك وجود المطاعم اسفل الشقق. دوره المياه شبه متهالكه السرير والمخدات سيئهالتلفزيونات</t>
  </si>
  <si>
    <t>“مريح”. الموقع امام المارينا مباشرهتعامل ممتاز من العاملين بالفندققريب من الفندق سوبرماركت كارفور وصيدليه ومستشفي النت ممتاز. بعض الغرف تحتاج الي تعديل في الاصباغ</t>
  </si>
  <si>
    <t>“حيث الراحه والهدوء والروحانيه”. الافطار المجاني / استقبال الموظف حاتم. المواقف / توقف بعض المصاعد عن العمل / عدم وجود ملامع احذيه/ اصوات بالغرف المجاوره.</t>
  </si>
  <si>
    <t>“الراحه النفسيه”. تعامل طاقم العمل الراقي. مواقف السيارات</t>
  </si>
  <si>
    <t>“رحله جميله ووممتعه”. هدوء المكان ونظافه الغرفه وحجمها مناسب. موقع الفندق</t>
  </si>
  <si>
    <t>“الراحه والموقع”. كل شي اعجبني فندق ممتاز وعائلي. تم اخذ مبلغ غير سعر الغرفه مع الضريبه وعند سؤال موظفه الاستقبال اجابه في برج العرب يتم اخذ خمسين درهم زياده ونحن فندق نعتبر من الفنادق الضخمه في دبي وبعد المجادله تم خصم المبلغ التي كان سايخذ من دون وجه حق</t>
  </si>
  <si>
    <t>“اقامه جدا جميله في هذا الفندق”. اكل الفندق لذيذ الموظفين راقيين الراحه والهدوء. لايوجد</t>
  </si>
  <si>
    <t>“روحانيه الاقامه وروعه المشاعر”. كل شيء كان اكثر من رائع. لاشيء</t>
  </si>
  <si>
    <t>“اعجبني”. سرعه انهاء اجراءات الدخول والخروج ، سرعه التجاوب خدمه السيرفس. الحمامات اعزكم الله لايوجد بها شطاف ، وايضا المشروبات الكحوليه في الثلاجه ، يوجد مطعم موال فيه راقصه</t>
  </si>
  <si>
    <t>“فن”. الفندق ممتاز والموظفين اكثر من رائعين.</t>
  </si>
  <si>
    <t>“احتفل بعيد زواجك في فندق كراون ممتع”. اعجبني كل ما في هذا الفندق قريب من ياس مول وعالم فراري والحديقه المائيه. لا شي يذكر</t>
  </si>
  <si>
    <t>“لا باس”. كل شيء تقريبا جميل. الموااااقف ﻻ يوجد مواااقف نهائياوايضا موقع الفندق حوله تحويلات من جميع الاتجاهات مشوار ساعه تاخذه في 3 ساعات</t>
  </si>
  <si>
    <t>“جميل ورائع وممتاز”. كل شي تمام وافضل من التمام انصح به والاستقبال فيه شخص اسمه فؤاد ممتاز تعامله. كثره الارقام السريه للنت</t>
  </si>
  <si>
    <t>“من افضل اماكن الاقامه”. تعامل الموظفين اكثر من رائع.</t>
  </si>
  <si>
    <t>“المسافر راااح”. الموقعالمسجد قريبالنت ممتازالدش قوي وممتازه. اسلوب الخدمهالفرش جدا ناسخالاثاث مستهلكطلب قرض رسوم بمبلغ 100 لليوم مقابل توفير مفرش اضافي الاطفالالافيااش ثنائي فقطعدم تصريف المياه بدورات المياه اثناء الاستحمام الا بشكل ضعيفمواقف السيارات ضيقه جدا بالبدروم</t>
  </si>
  <si>
    <t>“كل شي قريب منك”. موقع الفندق من الحرم وفيه سوق وسوبر ماركت ف الدور اللي تحت وفي مطاعم تحتك وفي سوق يعني كل شي جريب منك مايحتاي تسير بعيد اذا تبا شي. لا شئ</t>
  </si>
  <si>
    <t>“ضيوف الرحمن لهم كل الود والاحترام”. الغرفه واسعه والاطلاله علي الكعبه تجربه ممتازه. ١- كنت واقف بالصف عند احد موظفي الاستقبال عند تسجيل الدخول تركني وذهب الي زبون اخر فقلت له لايحق لك تجاوزي والدهاب الي زبون اخرقال لي الموظف اذهب الي موظف استقبال اخر لاني لن اخدمكناسف علي وجود مثل هذا الموظف اللذي لم يحترم زبون فنادق ال 5 نجوم٢- الحمام في الصاله في غرفه رقم ٣٠١٢ يطفح الماء فوق البلاط لان السرميك اعلي من فتحه تصريف الماء</t>
  </si>
  <si>
    <t>“راحه متعه”. الموقع تعامل العاملين في الفندق. الافطار</t>
  </si>
  <si>
    <t>“الفندق جميل جدا”. كل شي. عدم وجود مواقف السيارات</t>
  </si>
  <si>
    <t>“الفندق بهذه المواصفات مقارنه بالسعر ممتاز”. كافه الخدمات متاحه مع النظافه و الهدوء و الباركنج.</t>
  </si>
  <si>
    <t>“راحه الضيف”. سرعه المعاملات ونظافه الغرف والخدمه واحترام الضيف ممتازه.</t>
  </si>
  <si>
    <t>“قضينا يوم جميل ولله الحمد”. الشاطئ الخاص جدا جميل - بوفيه الافطار منوع- الفيلا الملكي انظف من الشاليهات الاخري من حيث مستوي النظافه والاثاثالجلسات الخارجيه للحدائقالنادي الخاص للنساء. كان لنا حجزان للفيلا الملكي ولشاليه بشاطئ خاص شتان بينهما الشاليه يحتاج الي النظافه النظافه النظافه والامر المزعج عند وصولنا لم يكن الشاليه جاهز علما باننا وصلنا متاخر وكانت حجتهم المستاجر اللي قبلنا لم يخرج ف الموعد المحدد ف انتظرنا قرابه الساعه لتنظيفها</t>
  </si>
  <si>
    <t>“فطور لا ينسي(:”. ١/ افطار الفندق كان رائع جدا جدا وهو عباره عن اكثر من بوفيه ومتنوع جدا وافضل من الفنادق المحيطه به كالفيرومنت٢/ وجود اله صنع القهوه بالغرفه. ١/ لايوجد مصلي خاص بالفندق بل عام لكل الوقف ٢/ لاتتوفر مواقف كافيه للسيارات</t>
  </si>
  <si>
    <t>“كل شيء جميل مقابل القيمه الماديه”. اتقدم بجزيل الشكر لموظفه خدمه العملاء lirenaعلي كل ما قامت به من خدمه.</t>
  </si>
  <si>
    <t>“ممتعه”. فريق العمل متعاون جدا المنظر رائعتجهيزات الغرفه جدا ممتازه. خزانات الملابس تبع المسبح كانت جميعها مقلقه وتم اخباري بتسليمها لمشتركي الجيم مما يعني لامكان لوضع ملابسنا اثناء السباحه</t>
  </si>
  <si>
    <t>“فندق متميز”. كان السرير مريحا، والمكيف جميلا، وكان استقبال الفندق رائعا. الاتصال بالانترنت يمكن ان يكون افضل.سكنت في غرفه علي المنور وكان صوت الاجهزه عاليا فتم تغيير الغرفه الي غرفه علي الشارع</t>
  </si>
  <si>
    <t>“اقامه جميله .. تستاهل التكرار”. المرافق المتوفره جميله ومتنوعه. اسعار الروم سيرفس غاليه جدا .. الانترنت المدفوع بالغرف ايضا</t>
  </si>
  <si>
    <t>“تجربه تستحق التكرار”. التصميم .. النظافه.. رائحه العطر من دخولك الفندق حاي الغرفه. الموقع بشارع مزدحم</t>
  </si>
  <si>
    <t>“انصح الجميع بتجربه الاقامه بالفندق و التمتع بالخدمات التي يقوم بها”. موقع الفندق ممتاز و تصميمه الداخلي والخارجيا يوحي بالاناقه ، الخدمه و النظافه ممتازه ايضا مقابل المال الذي يدفع فيه. يجب ان يقوم الفندق بعمل خطه لتجديد اثاثه و اضفاء روح جذابه فيه</t>
  </si>
  <si>
    <t>“القرب من الحرم النبوي”. الراحه القريبه من الحرم.</t>
  </si>
  <si>
    <t>“اتمني لو تكتمل روعه الغرف مع نظافه الفندق وتميز الخدمه”. الغرف نظيفه من الداخل وواسعه. فطور بوفيه مفتوح لا يليق بفندق نص نجمه...وصلت للمطعم 8 صباحا وكانت معظم اطباق الفطار منتهيه دون تجديد!الممرات متسخه جدا ورائحتها سيئه انا اصنفه فندق 3 نجوم فقط</t>
  </si>
  <si>
    <t>“مكان ممتع لجميع افراد الاسره”. حسن الاستقبال وهدوء المكان.. الشاليهات لا يوجد بها ادوات مطبخ وتحتاج الي صيانه دوريه.</t>
  </si>
  <si>
    <t>“من افضل الاماكن التي سكنت في مكه.”. النظافه والراحه.. لاشيء</t>
  </si>
  <si>
    <t>“فندق الراحه”. موظف الاستقبال هاني كان ممتاز جدا بستقبالي.</t>
  </si>
  <si>
    <t>“اقامه تجمع بين الاثنان العمل والاستجمام”. المكان جدا هادي مع اطلاله جميله ونظيف مع توافر مواقف وحراسات. ما لم يعجبني قله الاهتمام بالشاطئ البحريفهو يحتاج الي المزيد من الترتيب</t>
  </si>
  <si>
    <t>“فندق راقي وتعامل ممتاز”. الغرف كبيره ومريحه , تعامل الموظفين ممتاز , الافطار مميز جدا ومتنوع , موقع متميز.</t>
  </si>
  <si>
    <t>“جميله ليله للراحه قبل الرحله ولقربه من المطار”. جدا مريح ولذيذ اشكرك موظف الاستقبال الاخ المصري اعطاني ترفيع علي غرفه جدا فخمه فله كل الشكر والتقدير. كان فيه زواج لهنود في الدور الاخير وقليل من الازعاج</t>
  </si>
  <si>
    <t>“فندق جميل انصح جميع العوائل به . قريب من مول الامارات وقريب من gpr وقريب من جدا من المارينا مول”. الاطلاله علي شارع الشيخ زايد والنظافه في الشقق واللوبي وتعامل العاملين مع تحسن الانترنت بالغرف ووجود البقاله داخل الفندق. الحمام صغير جدا في بعض الشقق والسعر في المواسم</t>
  </si>
  <si>
    <t>“فندق لرحلات البزنس فقط”. الهدوء الاستقبال الجيد الخدمه السريعه موظفين علي درجه عاليه من الكفاءه النظافه. الغرف ضيقه جدا الحمام ضيق قله ادوات الحمامات بما فيها الفوط لايوجد بالغرف خزنه الدولاب صغير جداا</t>
  </si>
  <si>
    <t>“رحله العائله”. الراحه وعدم الازعاج. عدم وجود شطافات في الحمامات</t>
  </si>
  <si>
    <t>“شقق فوق الرائعه”. . لا شئ</t>
  </si>
  <si>
    <t>“رحله ممتعله مع فنادق الهلتون بدبي”. حبذي لو زياده في اصناف الافطار. الانتظار لوقت طويل لاستخدام المصاعد</t>
  </si>
  <si>
    <t>“الفندق جميل جدا. ..الخدمه. .الموظفين. .فوق الممتاز”. الفندق ممتاذ جدا.</t>
  </si>
  <si>
    <t>“رائع”. الموقع النظافه الهدوء . حسن الاستقبال نمن الموظف جورج . وبعض موظفين الاستقبال. ضعف النت .. . .</t>
  </si>
  <si>
    <t>“محمد الشمري”. الطاقم محترم خصوصا السوري التابع للمطعم. اخلاق وابتسامه جميه. الفطور غير متنوع ومكرر</t>
  </si>
  <si>
    <t>“فندق جميل وحيوي”. اطلاله الغرف علي المسبح.</t>
  </si>
  <si>
    <t>“كانت اقامه جميله جدا ومريحه في مكان جميل جدا وهادي”. الهدوء النسبي والراحه وديكور الفندق. فرش الممرات في الفندق قديم نوعا ما</t>
  </si>
  <si>
    <t>“علي شو ⭐⭐⭐⭐⭐ علي ريحت البواليع الي فالغرف”. . الغرفه صغيره وايد • ريحت بواليع وانتو بكرامه فالغرف • والاكل الحمدلله علي النعمه اي شي • كانو امضيعين سويج الموتر • عالي شو عاطينه ⭐⭐⭐⭐⭐ مادي والله</t>
  </si>
  <si>
    <t>“ممتعه”. كل شي. لا شي</t>
  </si>
  <si>
    <t>“مكان هادي ومريح”. الموقع ممنتاز والخدمات كذلك. صوت بعض النزلاء فقطوعدم وجود عوازل للصوت</t>
  </si>
  <si>
    <t>“الي الامام وتقدم”. الاستقبال من قبل الموظفين ممتاز. قيمه الفاتوره كانت اكثر من الحجز من المفروض ان ادفع في يومين 1800 درهم تفاجئه ان الحساب 2700 درهم معدل 1000 درهم زياده</t>
  </si>
  <si>
    <t>“ممتازه”. فندق ممتاز موقع ممتاز كذلك كل شي يدعوك للحجز في هذا الفندق ،،، مع الشكر.</t>
  </si>
  <si>
    <t>“فندق ممتاز”. موقع ممتاز وكل شي طيب. لايوجد</t>
  </si>
  <si>
    <t>“الحلو ما يكتمل”. السعر مناسب وجيد جدا والمكان نظيف ومتسع وسهل الوصل الي الفندق. السكن محتاج الي بعض قليل جدا من الاواني والتلفاز لم يعمل ولا يوجد تليفون بالغرفه</t>
  </si>
  <si>
    <t>“ممتاز مقابل القيمه”. الهدوء والنظافه. لايوجد صابون استحمام وشامبو كذلك الفوط قليله</t>
  </si>
  <si>
    <t>“الراحه”. كل شئ. لا شئ</t>
  </si>
  <si>
    <t>“جيد”. قرب المكان حسن الضيافه سرعه الدخول. مفتاح الغرفه غير نشط معظم الاوقات</t>
  </si>
  <si>
    <t>“Not bad”. المكان نظيف ومرتب Nice and clean. برادات الثلج معطلهولا يوجد سله الثلج الثلاجه صغيره للعايلهاسعار الاكل يفرق باللغه الانجليزيه عن العربي طلبت ورق عنب ب ١٤ ولما جاتني الفاتوره طلب ١٧ ولقيت الفرق بالمينيو</t>
  </si>
  <si>
    <t>“موقع يمتاز بقرربه من الخدمات”. كل شيء جيد. سكنت في شقه بغرفتين وكان احد الحمامات به رائحه سيئه وطلبو مني تغيير الغرفه ولكني لم اغيرها بسبب اقامتي لم يتبقي منها الا يوم</t>
  </si>
  <si>
    <t>“رحله عمل رائعه”. الخدمات النظاف.</t>
  </si>
  <si>
    <t>“جميل جدا”. كل شيء جميل. مافي شيء</t>
  </si>
  <si>
    <t>“رحله موفقه”. كان مكان هادئ صحيح الفندق قديم لكن.لاتشعر بذلك..ردهات الفندق الداخليه جميله والمكان واسع جدا.. بعد الفندق عن المدينه</t>
  </si>
  <si>
    <t>“ممتاز”. . الراحه التامه الخدمات الجميله</t>
  </si>
  <si>
    <t>“فندق رائع جدا”. جميل بشكل عام.</t>
  </si>
  <si>
    <t>“مكان رائع”. كل شئ. لا شئ</t>
  </si>
  <si>
    <t>“الافضل علي الاطلاق”. Thanx for all Armani stuff. Cigar lounge</t>
  </si>
  <si>
    <t>“انصح بالفندق”. القرب من ابواب النساء في المسجد النبوي. المواقف ضيقه</t>
  </si>
  <si>
    <t>“الفندق ممتاز”. كل شي.</t>
  </si>
  <si>
    <t>“عدل وانصاف”. الهدوء والسيكرتي وعامل باكستاني اسمه ناصر يحمل الشنط.. تعامل الاستقبال. والنظافه. والبلكونه ليست مغلقه باحكام وكان المكان مزعج للغايه. ولم احصل علي حجري الاذي حجزته الا بعد يومين وكان حجري اربع ليلي اول يومين شقه صغيره وبعد الشكوي لبوكنك حصلت علي حجري الذي حجزته.</t>
  </si>
  <si>
    <t>“روعه”. الخدمه. لا شيء</t>
  </si>
  <si>
    <t>“اقامه مريحه وافطار شهي”. الافطار ممتاذ والفرش نظيف جدا والباصات متواجده دوما.</t>
  </si>
  <si>
    <t>“يححتاج توفير مواقف مجانيه”. الفندق نظيف ورائع لكن المواقف غير متوفره لازم تدفع 70 درهم لليوم ..</t>
  </si>
  <si>
    <t>“رائعه جدا جدا”. اعجبتني الغرفه والمطعم الافطار رائع. لاشيئ</t>
  </si>
  <si>
    <t>“حليو”. بعيد عن زحمات جده. فيش شحن الجوال في غرفه الجلوس للجناح تصميم الجناح ومساحته</t>
  </si>
  <si>
    <t>“ممتاز”. كل شئ اعجبني. البعد عن المدينه والتكلفه العاليه للتكاسي</t>
  </si>
  <si>
    <t>“نسكنك لقربك للحرم”. الفندق من حيث الموقع ممتاز جدااا الاستقبال جدا رائع خصوصاااا الشاب جهاد ماشاء الله تبارك الله خدمه الغرف سيئه الاذان متعطل السماعات داخل الغرف وتم التبليغ وخمس ايام الاقامه ولم تصلح الافطار الحمدلله علي النعمه متكرره كل يوم الي رز بالحليب تتغير الي شعيريه بالحليب المغسله غاليه جداااا شركه مكه هيلتون افضل والسعر اقل والافطار افضل رويال اوركيد افضل تم السكنه العام الماضي والصفوه1 افضل تم السكنه قبل العام ولم اكن اتوقع اسكن بهكاذا خدمه حتي عمال الخدمه ينتظر عندك ينتظر الاكراميه. خدمه الغرف الافطار الصباحي متكررالعماله تنتظر التكريم</t>
  </si>
  <si>
    <t>“رحلتي الي دبي”. بشكل عام لاباس به. صغر مقاس الغرف</t>
  </si>
  <si>
    <t>“فندق ممتاز”. الافطار رائع ومتنوع والموقع اكتر من ممتاز. لاشئ</t>
  </si>
  <si>
    <t>“جميل من ذهب”. كله جميل. لاسعار مرتفعه</t>
  </si>
  <si>
    <t>“الموظف في الاستقبال سيء في المعامله”. كل شي جميل الا موظف الاستقبال. موظف الاستقبال + ترتيب الغرفه عندما طلبت منهم رفضوا</t>
  </si>
  <si>
    <t>“تصميم اوروبي رائع”. تصميم المنتجع و الاطلاله و الخدمات. تغطيه الانترنت سيئه جدا الدخول ليس قبل الساعه 3 انتظرنا طويلا في الاستقبال</t>
  </si>
  <si>
    <t>“الفندق ممتاز عموما”. النظافه الهدوء الافطار والموقع. التاخير احيانا عند طلب الخدمه</t>
  </si>
  <si>
    <t>“شكرا فندق روتانا المسك”. مستوي الفندقه. المهاقف المواقف المواقف</t>
  </si>
  <si>
    <t>“اعطني المال ثم اخدمك”. الموقع و الاثاث والنظافه. اولا اخذ عربون.ثانيا لم يكن نفس المبلغ الذي تم عرضه علي الموقع تفاجأت باضافه رسوم اضافيه.ثالثا وصلنا متعبين من السفر قبل موعد الدخول ولم يسمح لنا بدخول الشقه الا بعد اخذ مبلغ نصف يوم مقابل راحتنا انا واطفالي لعدد الساعات المتبقيه.</t>
  </si>
  <si>
    <t>“اقامه مريحه غير ممتعه جدا”. حداثه المبني. ضيق الغرفالاطلاله كئيبه قله قنوات التلفزيون</t>
  </si>
  <si>
    <t>“فكره شقق مفروشه ممتازه بسبب تواجد العاب للاطفال ، موقع جيد جدا ، النظافه الي حد ما ممتازه”. فكره الالعاب والمسبح رائعه ، ولو يمكن تفعيلها بشكا افضل في جميع المشاريع السياحيه سيكون ذلك رائعا. خدمات المواقف ، وباب الفندق مغلق للسيارات</t>
  </si>
  <si>
    <t>“القيمه مقابل السعر”. الموقع وعزل الصوت في الغرف ممتاز السعر مقابل القيمه جيد. النظافه و تعامل الموظفين الفندق تقريبا شبابي اعتقد لايصلح للعوائل</t>
  </si>
  <si>
    <t>“فندق جيد وانصح السكن فيه والخصوصيه موجوده”. مو قع الفندق وقربيه من المول وقصر الحمراواشكر قسم الاستقبال وبالاخص الموظفه كارلا الفلبينه لسرعتها في الخدمه. العفش قديم وعدم وجود جريده الصبح مثل الفنادق الثانيه ورسوم الانترنيت والفطور المكرره كل يوم</t>
  </si>
  <si>
    <t>“مناسب جدا”. كان الافطار لذيذا.</t>
  </si>
  <si>
    <t>“سكن مريح”. . تهريب بدوراه المياه اكرمكم اللهاخذ مبلغ لدخول مبكرا</t>
  </si>
  <si>
    <t>“خمسه نجوم”. الموقع جميل. لاشي</t>
  </si>
  <si>
    <t>“محمد شمس”. النظام وقرب الفندق من الحرم الشريف. ارتفاع السعر</t>
  </si>
  <si>
    <t>“فندق جميل لكن احذر من التنقلات بين مبانيه”. الفندق جميل بمسابحه وتخطيطه وتجهيزاته. يعاني الفندق من عيب اساسي ومهم ويتمثل في صعوبه التنقلات بين الشقق والمبني الرئيسي خاصه للعوائل، ففي كل مره تحتاج لطلب "عربه غولف" لنقلك من الشقه الي المبني الرئيسي لتتمكن من استلام سيارتك التي لابد من ايقافها في مواقف بعيده عن الشقه. المشكله ان عربات الغولف قليله مما يجعلك تنتظر لفترات قد تطول وهذا الانتظار مزعج خاصه حين يكون بعد عودتكم من يوم شاق خارج الفندق.</t>
  </si>
  <si>
    <t>“اجمل مافي الاقامه القرب من الحرم المكي”. قرب الفندق من الحرم المكي وتوفر باصات لنقل الساكنين الي الحرم مجانا. موقع الفندق في شارع ضيق جدا مع زحمه السيارات وعدم توفر مواقف الاثاث الارضي للفندق يحتاج تغيير بالكامل وجود غبار علي الطاولات والكراسي في الغرف</t>
  </si>
  <si>
    <t>“مكان مناسب للعائله الذاهبه للتسوق بدبي”. مساحه الشقه مناسبه للزوجين والاطفال القرب من محطه المترومواقف متوفره للسياره. عدم وجود فرن للطبخعدم وجود غسالهازدحام المصاعد وتاخرها</t>
  </si>
  <si>
    <t>“جيده جدا”. . لا يوجد شطاف في احد الحمامات</t>
  </si>
  <si>
    <t>“محمد السلمي”. فندق حلو ونظيف والاثاث جميل. الغرفه كان فيها جني بسم الله الرحمن الرحيم</t>
  </si>
  <si>
    <t>“جميل”. الموقع قربه من محطه المترو في مول الامارات عدم وجود ازعاج عدم وجود بار الموظف مصطفي في بوفيه الافطار. رفض الموظفه اللبنانيه تاخير الخروج الي الساعه ٢ الظهر بمزاجها وتواصلت مع الاستقبال ووفقوا</t>
  </si>
  <si>
    <t>“السعر غالي”. موقع الفندق وفخامته. استخدام مصعديين للوصول لغرفتي</t>
  </si>
  <si>
    <t>“موقع ممتاز”. سعر الفندق جيد والموضفين لطفاء لايفوتكم المسبح باطلاله جميله. الاثاث قديم</t>
  </si>
  <si>
    <t>“فندق نجوم”. الموقع.</t>
  </si>
  <si>
    <t>“الاستقبال والترحيب”. الفندق ممتاز. لا شيء</t>
  </si>
  <si>
    <t>“مسافر دوما للمدينه”. الفندق جيد لمن يريد الحد الادني من اساسيات الاقامه. ضيق الحمام نوعا ماوقدم الاثاث تقريبا</t>
  </si>
  <si>
    <t>“اقامه ممتازه”. الفطارلذيذ. الانترنيت</t>
  </si>
  <si>
    <t>“8”. الشقه وسيعه وتمتاز بالنظافه. الموقع واعمال البناء امام الشقق تسبب الازعاج وعدم توفر التكسي بالقرب من المكان</t>
  </si>
  <si>
    <t>“هدوء رائع”. الخدمه ممتازه من موظفي الاستقبال. متابعه نظافه الغرف غير مرضيه</t>
  </si>
  <si>
    <t>“جميله لو كان الحمام مكتمل”. نظافه الفندق. النت وسباكه الحمام</t>
  </si>
  <si>
    <t>“اجمل رحمه بالبشر”. الموقع لسهوله العبادات. ارتفاع اسعار الخدمات بالداخل</t>
  </si>
  <si>
    <t>“تغيير جو في ظل العائله”. القريه بصفه عامه جميله جدا. ارضيه الغرفه غير مفروشه ولايوجد ميكروويف لتسخين المعجنات وغلاء الاسعار</t>
  </si>
  <si>
    <t>“ستكون لي خيارات اخري افضل منه”. مستوي الفندق كاعداد جيد و تصميمه جميل و غرفه مناسبه الاتساع و الاثاث جديد و جميل. الافطار كان سيء و باب النافذه متعطل القفل به و مقبض السلامه مكسور و خطر جدا علي الاطفال اعاده ترتيب الغرفه سيء و لا يتم اعاده ملئ الخدمات المجانيه كامله</t>
  </si>
  <si>
    <t>“اطلاله رائعه عالجبل”. . الغرف المطله علي الجبل غير مذكوره في خيارات بوكينغ</t>
  </si>
  <si>
    <t>“الموقع المميز”. الموقع مميز بالقرب من محطه مترو صلاح الدين. طلبت ان تكون غرفتي في الادوار العلويه تفاجات حطوني في الدور الثاني والنادي الليلي في الدور الاول وهذا سبب لي الكثير من الازعاج</t>
  </si>
  <si>
    <t>“هدوء”. الهدوءقرب السوق. لا يوجد</t>
  </si>
  <si>
    <t>“ممتازه”. النظافه. لايوجد عوازل صوتيه</t>
  </si>
  <si>
    <t>“طاقم الاستقبال ممتاز”. حسن الاستقبال وتقبل الملاحظات.</t>
  </si>
  <si>
    <t>“القصيم”. اعجبني السعه في الغرف ٠النظافه في دورات المياه. السرير غير مريح مطلقا وهذا ما جعلني اغادر الشقه . عدم وجود موكيت او بمعني اصح فرشات بالغرف</t>
  </si>
  <si>
    <t>“لاباس بها”. معامله الموظفين. غلاء الاسعار في الفندق من كل النواحي الاقامه والمعيشه</t>
  </si>
  <si>
    <t>“كانت اقامه ممتازه”. موقع الفندق والخدمات. لا يوحد</t>
  </si>
  <si>
    <t>“جناح جونيور”. الجناح واسع ويوجد فيه حمامين منفصلينالنظافه جيدهالموقع جيد وقريب من المطاعم. مواقف السيارات سيئه وظيقه وقليلهلاتوجد غلايه ماء في الجناحالاسعار غاليه</t>
  </si>
  <si>
    <t>“مكان اقاه فحم بسعر معقول”. الافطار ممتاز واثاث الفندق مريح ونظيف. رائحه التدخين في انحاء الفندق بما فيها الاقسام التي يمنع التدخين فيها</t>
  </si>
  <si>
    <t>“الاحساء - المنطقه الشرقيه”. . نقل الباصات للحرم لم يكن مرتب و لايستجيب السائق في حال تواجدنا بالموعد يلزم عليهم توفير هذه الخدمه باكمل وجه و ارضا الزائر والانترنت متقطع و احيانا لايشبك</t>
  </si>
  <si>
    <t>“رحله ايمانيه”. اطلاله جميله علي الحرم. لا يوجد نت</t>
  </si>
  <si>
    <t>“افضل فندق بالوقت الحالي”. . عدو وجود بعض المواد الاستهلاكيه منظف الاذان</t>
  </si>
  <si>
    <t>“تقييم المكان”. الموقع وسعه الغرفه. مدخل المكان غير لائق تماما بجانب محلات بيع الماكولات السريعه وهو يختلف عن مدخل الهيلتون الاساسي من السوق!! من اكبر السلبيات والتي لم يتم ذكرهابعد الوصول للدور بالمصعد يتوجب صعود درج دور كامل للوصول للغرفه حيث ان المصاعد لا توصلك للغرفه مباشره وهذي سلبيه كبيره وخصوصا لكبار السن ولم يتم ذكره في الموقع!!السعر لا يختلف عن الهلتون الاساسي مع فارق الفخامه والنظافه والخدمات المقدمه في الهلتون الاساسي، وكلاهم في نفس الموقعرايي الشخصي تدفع زياده وتسكن في الهلتون الاساسي افضل بكثير</t>
  </si>
  <si>
    <t>“شقه جميله”. حجم الغرفه واسعه ورايق والفطور م جربته. الممرات رخام وهذا مزعج لساكنين الغرف في تسحيب الشنطه يدخل الصوت واللي نومه حساس بيتعب نفسيا والنت جدا سي كل م قفل الجوال لازم تسجل من جديد</t>
  </si>
  <si>
    <t>“للموقع عنوان”. الموقع .. وخدمه الاستقبال. نظافه الغرف غير مرضيه . حيث اننا وجدنا بالغرفه بقايا طعام .. من قبل ضيف سابق للغرفه</t>
  </si>
  <si>
    <t>“تمنيت ان يكون افضل”. اثاث الغرفه والهدوء. للاسف فرشاه ومعجون غير موفره وعلب الشامبو والبلسم مستخدمه يوجد النصف في كل علبه ...السيفون لايعمل ...</t>
  </si>
  <si>
    <t>“السعر مرتفع مقارنه بموقعها”. الاستقبال رائع ونظافه المكان.</t>
  </si>
  <si>
    <t>“دبي الاجمل”. موقع مميز. الازعاج</t>
  </si>
  <si>
    <t>“لايوجد سرير للطفل الثالث مع العلم بان الحجز واضح زوجان وثلاثه اطفال ولا يوجد واي فاي داخل الغرفه”. الاستقبال والمواصلات للحرم والمواقف ونظافه الفندق. لايوجد سرير للطفل الثالث مع العلم بان الحجز واضح زوجان وثلاثه اطفال ولا يوجد واي فاي داخل الغرفه</t>
  </si>
  <si>
    <t>“ان وجدت غيره من نفس الفئه فانت اولي به”. ممتازه كانت خدمه ايقاف السياره. ازعاجنا بالليل لدفع فاتوره العشاء حول المسبح بسبب ارجاعها من مكتب الاستقبال</t>
  </si>
  <si>
    <t>“شكرا دلف”. القيمه الماليه للفندق جيده وقربه من الخدمات مثل السوبر ماركت وايضا الصيدله والمطاعم. عدم الاهتمام في النزيل الواي ضعيف جدا النظافه ليس ولا بد</t>
  </si>
  <si>
    <t>“رائع”. شرفه البلكونه والهدوء. بعد الغرف عن الرسيبشن</t>
  </si>
  <si>
    <t>“جيد مرتفع”. قربه من الخدمات ( مطاعم - مراكز تموين - مغاسل ). ضعف خدمه الواي فاي</t>
  </si>
  <si>
    <t>“قربه من الموول والقطار”. السرير مريح. الزحام في بهو الفندق</t>
  </si>
  <si>
    <t>“ممتاز لمن لديه عائله”. الموقع وعدم وجود مراقص وبارات. العوازل الخاصه بالصوت وروائح الدخان والمجاري المنبعثه من فتحات التهويه</t>
  </si>
  <si>
    <t>“القرب من العمل”. الهدوء. المواقف</t>
  </si>
  <si>
    <t>“فندق ايوا”. نظيف. موقع الفندق غير مناسب لانه ازعاج بسبب صوت الطائرات اللي تمر من اعلا الفندقوالسرير ضيق نوعا ماخدمه الواي فاي مرتفعه جدا</t>
  </si>
  <si>
    <t>“موقع علي الجبل”. هدوء المكان. عدم ذكر ان مكان الفندق علي تله عاليه وصعوبه الصعود للمكان مع عدم تواقر وسيله مواصلات.</t>
  </si>
  <si>
    <t>“ابو محمد”. كافي كلاريج. الاستقبال نظافه الغرف والموقع</t>
  </si>
  <si>
    <t>“الصدق”. وسع المكان.. لا يمكن استقبال اي زوار .</t>
  </si>
  <si>
    <t>“الاهتما”. . بس يعرفوا انو انت حاجز عن طريق البوكنك بصير بدو يعطيك اسوء الغرف و اسوء اطلاله. علما انو الغرف الاخري شاغره</t>
  </si>
  <si>
    <t>“استجمام”. تعامل الاخ سعيد متعاون وراقي. عدم نظافه الفرشه والشرفه وعدم تصريف دوره المياه وصغر حجم الغرفه</t>
  </si>
  <si>
    <t>“ممتاز”. ممتاز جدا.</t>
  </si>
  <si>
    <t>“لاباس به”. موقع الفندق بوسط المدينه وسهوله الوصول لاغلب المناطق بدبي كذلك تراس الشيشه. صعوبهالحصول علي الماء الحار بالحمام كذلك الشطافات جدا سيئه بحاجه للتغيير لنوع اسهل بالاستعمال والثلاجه بالغرفه غيرموصله بالكهرباء فلم نتمكن من تبريد الماء</t>
  </si>
  <si>
    <t>“....”. ............ .............</t>
  </si>
  <si>
    <t>“سكني ب انتور”. . لم يتم توفير بطاقه الدخول للغرفه الا بعد يوم كامل اذا بغيت ادخل الغرفه انا واهلي يطلع معنا الهندي علشان يفتح الباب ببطاقه الماستر وحجتهم يقولون البطاقات خلصت انتظر لين يطلع واحد وناخذ بطاقته ونبرمجها علي غرفتك</t>
  </si>
  <si>
    <t>“شقق فندقيه”. شقق فندقيه يوجد كوفي خارجي تابع للشقق كما يوجد بجوار ها اسواق المزرعه يعتبر السكن بها معقول عزل الصوت ملاحظه مهمه لا يوجد بها عزل الصوت عند مروري بالشقق المجاوره تسمع الاصوات بوضوح ل. لا يوجد بها مناشف ولا صابون</t>
  </si>
  <si>
    <t>“احجز علي مسؤليتك”. المكان نظيف والغرفه مريحه. الشخص الذي في الاستقبال ليس متعاون مع الزبائن ولاتوجد خدمه لحمل الحقائب وقليل في الكذب</t>
  </si>
  <si>
    <t>“السعر مختلف”. الاسره والاستقبال والخدمات. حجزت ب52 ودفعت 89 ريال عماني</t>
  </si>
  <si>
    <t>“غرف صغيره جدا”. الفندق نظيف بالقرب منه كار فور مشي علي الاقدام. صغر الغرف - الواي فاي ضعيف السرعه والارسال - النادي الصحي يغلق في وقت مبكر جدا-</t>
  </si>
  <si>
    <t>“اسوي فندق بدبي”. لان اكرررررررر الحجز بهذه العزبه. لا شي</t>
  </si>
  <si>
    <t>“ممتازه”. ممتاز. يرجي زياده موظفي الاستقبال</t>
  </si>
  <si>
    <t>“الامانه”. قريب من المطاعم. ازعاج الموسيقي</t>
  </si>
  <si>
    <t>“okkkkkkkkkkk”. okkkkkkkkkkkkk. okkkkkkkkkkkkkk</t>
  </si>
  <si>
    <t>“مسافر شباب”. . عدم توفير ادوات الاستحمام</t>
  </si>
  <si>
    <t>“شكرا علي التعاون الجميل منالجميع وﻻني لم اقابل ايصعوبات وتم تحقيق المطلوب”. اﻻستقبال الجيداﻻفطار المنوع والماءمون اﻹطﻻله علي البحر طبعا ليست كل الغرف مطله عله البحر. ﻻ شئ</t>
  </si>
  <si>
    <t>“عدت راضي عن اقامتي في الفندق لكني لست منبهر”. الفندق عادي ومعقولوموقعه ممتاز بالنسبه لي يمكن الوصول له بسهوله تامه لموقعه المميز في شارع الستين. زجاج الغرف لا يمكن فتحه لتجديد هواء الغرفه</t>
  </si>
  <si>
    <t>“استقبال الفندق”. المصاعد. الموظفونالديكورالمساحهعدم الخصوصيه</t>
  </si>
  <si>
    <t>“جيده لولا المبالغه في الاسعار”. . المبالغه في زياده الاسعار عندما قمت بالتمديد لثلاثه ايام</t>
  </si>
  <si>
    <t>“ممتعه”. الغرفه مطله علي البحر. المكيف لايبرد- لايوجد شطاف للحمام</t>
  </si>
  <si>
    <t>“جيدا جدا”. افطار جدااا تعبان مايستهل دولار في ريحه في الفرش ملاحظه هناك فندق لندن اكتر من واحد وضيعت العنوان وشكرا لكم جزيل الشكر. ولا شي غير .مكان بجانب السوق المترو</t>
  </si>
  <si>
    <t>“موقع غيرجيد”. وسع الغرف. الموقع. توزيع الغرفه . موقع الغرف وممرات الوصول للغرف. عدم وجود مضلات مع المسبح. عدم وجود دورات مياه في موقع المسبح</t>
  </si>
  <si>
    <t>“جميله نوعا ما”. الخصوصيه. نرجو الاهتمام بوسائل الترفيه في الشاطي الخاص بالنسبه للاطفالوالاهتمام بنظافه الشاطئ فذلك لايكلف سوي جهد بسيطوالاهتمام بتجديد الاثاث وتوفير وسائل راحه اكثر</t>
  </si>
  <si>
    <t>“جميله”. جميل. كل شي</t>
  </si>
  <si>
    <t>“الحمدلله علي زياره الحرم الشريف”. التعامل.</t>
  </si>
  <si>
    <t>“الجواد في الموجود”. موقع الفندق. رائحه الاثاث و المفروشات</t>
  </si>
  <si>
    <t>“ممان جيد جدا للسكن”. موقع الفندقو مجموعه المطاعم المتنوعه. يحتاج اهتمام اكثر بالنظافه والفرش</t>
  </si>
  <si>
    <t>“تجربه مقبوله”. نظافه الاثاثهدوء تام. عدم وجود عماله للتنظيف خاصه ان زمن وصولنا كان بالعيد وكانت العماله في اجازه مما تسبب في ركن الاوساخ بين ممرات الغرف واضافه الي ذلك اضطريت لحمل الحقائب بنفسي لنفس السبب وهو اجازه العماله يوم العيدعدم وجود مياه للشرب في المني بار في الغرفهعدم وجود مناديل في بعض الغرفعدم توفر مواقف للفندقاعتقد انه نجمتين ليس اكثر</t>
  </si>
  <si>
    <t>“جيد”. . ازعاج الشارع</t>
  </si>
  <si>
    <t>“Abo Anas”. Lobby decoration. Sewage smells all over the roomsI stayed 5 hours the i left the hotelrooms decoration is less than basic and the standard</t>
  </si>
  <si>
    <t>“٨،٩”. البيك ممتاز جدا. في الوان علي الحااط</t>
  </si>
  <si>
    <t>“يتميز بالجوده العاليه”. مكان جميل.</t>
  </si>
  <si>
    <t>“ملاحظات مهمه لمرتادي هذا الفندق اقرا تعليقاتي”. ديكورات الفندق جميله و نظافه الممرات و قربه من الحرم و تصميم الفندق جميل و مصاعده جيده و اضاءاته هادئه و متناسقه. تعامل موظف الاستقبال المصري غير جيد و غير لبق بطئ جدا وغير مبتسم و البوفيه اصناف الطعام فيه متدنيه جدا و غير لذيذه و غير طازجه الفندق يحتاج اداره قويه و حازمه و للعلم انصح بعدم الدخول لمواقف السيارات لانها ضيقه جدا و اذا دخلت لا يمكن الخروج الا بصعوبه بالغه جدا لا يمكن الخروج الا بالريوس و الاحتراف بالقياده مع بعض الخدوش و للعلم الغرف ضيقه جدا جدا بحيث لا يمكن ان لا يمكنك ان تمر بين السرير و التلفزيون الا بصعوبه</t>
  </si>
  <si>
    <t>“كل شيء جميل ولكن لم اعهد ويندهام بالدول الاخري مثل ويندهام بدبي توقعت دبي تكون الافضل”. المواقف. ضجه المكانصعوبه الوصول لل جي بي ار التاخر في انزال الشنط واستلام السياره حتي تم الطلب منهم طلك وابلغوني بان الموظف باجازه واحضروا شخص اخر واعتذر لازعاجهم</t>
  </si>
  <si>
    <t>“موظف الاستقبال المغربي شريف كان رائع وقمه في الذوق وهو مكسب للفندق ارفع له قبعه الاحترام”. . موظف الاستقبال المغربي شريف كان رائع وقمه في الذوق وهو مكسب للفندق ارفع له قبعه الاحترام والتقدير وكذلك مديرالفندق</t>
  </si>
  <si>
    <t>“تعلم الصيانه لدي الفندق”. موقع الفندق جميع حيث انه قريب من مستشفي الحرس الوطني و ايضا قريب من جهه شمال الرياض. هو الاثاث .. وحصل لي موقف حيث التمس الكهرب و طفت جميع الكهرباء و لم يتم نقلي الي شقه اخري الا ان كانوا الصيانه يعملون بالغرفه لمده ساعتين مما جعلني لم ارتاح في الفندق ورفض منهم لنقلي لغرفه اخري .</t>
  </si>
  <si>
    <t>“جيده”. الفندق مصمم بطريقه جميله. ضيق المساحه لبوفيه الافطار عدم تواجد المساعدين حولين بوفيه الطعام المساعده والحفاظ علي النظافه</t>
  </si>
  <si>
    <t>“الخدمات علي اد السعر”. الهدوء. لاشي</t>
  </si>
  <si>
    <t>“فرصه لي التحسين”. . اسلوب موظف الاستقبال غير لائق مع الزبائن</t>
  </si>
  <si>
    <t>“تجربه بس ماراح اعيدها”. . النامووووووس كثير</t>
  </si>
  <si>
    <t>“المدينه المنوره”. الموقع جيد والاطلاع رائعه ولكنه غير مناسب لكبار السن. عند تعديل الحجز الرستن غير متعاون</t>
  </si>
  <si>
    <t>“رحله عمل”. . الاسعار مبالغ فيها الوجبات عاليه السعر.</t>
  </si>
  <si>
    <t>“التعامل ممتاز تاخير اجرات الدخول ازدحام المصاعد”. تعامل الاستقبال. المصاعد واجرات الدخول واقتطاع ملالغ من الفيزا وسحب مبالغ اخري</t>
  </si>
  <si>
    <t>“التغيير للافضل”. الموقع مقابل المال. وجبه الفطور</t>
  </si>
  <si>
    <t>“فندق”. الاستقبال جيد. انترنت لاويوجد</t>
  </si>
  <si>
    <t>“تطوير مستوي الخدمه”. الراحه والفطار. المواقف سيئه جدا جدا</t>
  </si>
  <si>
    <t>“بعيد”. مكان نظيف . قريب علي الميترو. بعيده جدا علي السنتر</t>
  </si>
  <si>
    <t>“رحله عمره من الرياض”. خدمه النقل للحرم. الغرف ضيقه جدا</t>
  </si>
  <si>
    <t>“كويس علي سعره لكن بعيد”. السعرالنت مقبولالمسبح والعاب الاطفالسعه الشقهكل غرفه حمام سوبر ماركت وصيدليه ومطعم تحت الفندقالمواقفالاطلالهالبلكونه. الموظفينالمناشفادوات الحمامالدش - الشاورالسرير مقبول وجيد مقابل السعر</t>
  </si>
  <si>
    <t>“مجموعه اصدقاء”. الفندق لاباس به. هنالك حشرات صغيره في المطبخ وتجمع الماء في الحمام غير انا طلبنا حذيان للحمام وجابوها لنا ولكنها بغت تطرحنا في السيراميك</t>
  </si>
  <si>
    <t>“تقييم صادق”. الموقع قريب جدا من الحرم. السعر مرتع نوعا ما</t>
  </si>
  <si>
    <t>“جيد”. موقع جميل. غير مسموح بالزوار</t>
  </si>
  <si>
    <t>“يصلح الفندق للعمل وليس ترفيه”. الموقع مناسب مساحه دوره المياه ممتازه حجم الغرفه مناسب. عدم توفير ادوات دوره المياه الا بالطلب المستمر</t>
  </si>
  <si>
    <t>“للامانه الفندق شوي. نظيف. يعني كويس للي بينام ويمشي”. . سويت. تسجيل. دخول. الساعه ثمانيه.وحصلت. احد في الغرفه رجعت يمهم بكل. برود. يقولك سوري. مادريت وغير ذا المغرب يقول عندك خروج ماكملا ١٢ ساعه الحمدالله تواصلت مع الشركه بوكنق. وضبطوني</t>
  </si>
  <si>
    <t>“جيد”. نظافه التكييف ممتاز. القنوات قليله وغير صافيهلايوجد خدمه غسيل ملابس</t>
  </si>
  <si>
    <t>“حي د”. جيد. جيد</t>
  </si>
  <si>
    <t>“مكان كان افضل مما توقعت والحمد لله.”. الموظف الذي استقبلني واتم اجراءات الدخول مكسب للفندق. دوره المياه فيها اشكالات</t>
  </si>
  <si>
    <t>“الفندق جيدجدا وقريب جدا من الحرم النبوي”. . التكييف بالغرفه غبر جيد</t>
  </si>
  <si>
    <t>“بشكل عام ، لا باس به”. الاثاث والتكييف والقنوات افضل بكثير من ما مضي. جناح رجال الاعمال حسب ما ذكر في البوكينق يستوعب اربعه اشخاص ومع ذلك رفضوا استقبال الزوار !!!مع انهم في السابق لم يرفضوا !!!</t>
  </si>
  <si>
    <t>“جيد”. نعم. الاثاث و السجاد الارضي</t>
  </si>
  <si>
    <t>“قائمه الثلاجه مبالغ في الاسعار علما بان المنتجات في السوبر ماركت اسعاره عاديه وهم دابلين السعر ل”. كويس النظافه والهدواءوالسرير ليس موريح. الاسعار من ناحيه اسعار الثلاجه الدبل واسعار الشقه مبالغ فيه من ناحيه موقعها</t>
  </si>
  <si>
    <t>“فندق جيد”. السعر. الازعاح وقت النوم</t>
  </si>
  <si>
    <t>“اقيم الفندق ٤ نجوم”. . لم تكن الديكورات الداخليه بالمستوي لفندق ٥نجوم والمطعم الوحيد في الاوتيل يقدم الاطباق الهنديه فقط لايتناسب مع اذواق الجميع</t>
  </si>
  <si>
    <t>“رائع”. قريب من الحرم نظيف. تعامل خدمات الغرف</t>
  </si>
  <si>
    <t>“جيد”. . عدم السماح للزياره ولو عده ساعات</t>
  </si>
  <si>
    <t>“الرياض”. . مواقف السيارات زي الزفت</t>
  </si>
  <si>
    <t>“شكرا لكم”. الموقع. الاثاث قديم</t>
  </si>
  <si>
    <t>“سلامات”. نظيف. بسبب ارتفاع التقييم. اصحاب الفندق رفعو السعر وصار كانه سعر فندق خمس نجوم. هذا يدعي استغلال</t>
  </si>
  <si>
    <t>“السعوديه”. . التدخل في التحكم برفع صوت الموسيقه</t>
  </si>
  <si>
    <t>“الحمدلله”. المساحه جيده الصاله فقط. الغرفه صغيره جدا والسرير ايضاالافضل وجود سجاده بالصاله للجلوس عليها بهذا البرد</t>
  </si>
  <si>
    <t>“طيبه”. مساحه الشقه- الموقع. تاخر في تشييك الدخول والمغادره- الواي فاي مفترض يكون مجاني- المروش تسيل المياه وسط الحمام</t>
  </si>
  <si>
    <t>“ان شاء الله ما انحد عليهم مره ثانيه”. قربها للمطار ... وساخه الفرش والمراتب اثارت حساسيه عندي بالعيون وحكه .. السخانه خربانه وبموسم الشتاء .. السرير جدا متعب</t>
  </si>
  <si>
    <t>“المكيف والسرير”. . اتجاه تبريد المكيف كان بعيد عن مكان السرير اضطررت لتحريك السرير الثقيل حتي اتمكن من النوم</t>
  </si>
  <si>
    <t>“لا يوجد”. هدوء. بعيد من الحرم</t>
  </si>
  <si>
    <t>“جيد اذا كانت الاقامه قصيره جدا”. وجود مصلي بالدو الاول. الغرف بارد</t>
  </si>
  <si>
    <t>“ناجحه الي حد ما”. السرير كان جيد. المياه بها بعض الصداالموكيت قديم</t>
  </si>
  <si>
    <t>“مجرد اقامه بسعر رخيص . .</t>
  </si>
  <si>
    <t>“جيد و لكن !!!!!”. نظافه الفندق و سرير مريح. حجزت لكن الاستقبال اخرونا مع العلم جيت الساعه 2 و انتظرت تقريبا ساعه و نص طاقم الاستقبال جدا ضعيف في اجراءات الدخول لكن في وقت الخروج سريع لا يستحق الاربع نجوم بصراحه و سعر ما يستحق يكون فندق اربعه نجوم المفروض من ثلاثه نجوم و نازل</t>
  </si>
  <si>
    <t>“جيد ومقبول”. بصراحه انا في البدايه حجزت موده النور وعندما جيتهم لم ارغب في السكن لديهم فاردت الغاء الحجز فذهب للتسويق عند شخص اسمه عثمان في موده الواحه فاقنعني بالسكن في موده الواحه ووجدت الوضع افضل بكثير ونزل لي في السعر الموجود في البوكنق وكان تعامله ممتازومن ناحيه الفندق انا معجب فيه من عده نواحي :١- قربه من الحرم٥ دقايق وانا داخل الحرم٢- الاثاث جيد نوعا ما٣- عند التدخول للفندق تشم رايحه طيب ( بخور ) ميزه٤- وجود بقاله اسفل الفندق ( مع انها غاليه في بعض الاشياء)واذا احتجت متاجر اكبر بت داوود جنبك في الموفنبيك. ١- عدم توفر مواقف سيارات كافيه للنزلاء مما يجعل المرور يسحب سيارتك ويضع هديه بورقه صفراء علي القزاز ( مخالفه)مما جعلني اوقف سيارتي في مواقف الحرم الساعه ١ ريال وانا مرتاح البال٢- الاستقبال ما يرد علي اتصالك من هاتف الغرفه لزم تنزل تقول لهم وش تبغي ٣- ما ينظف الغرفه الا بشق الانفس٤- ممكن يجيك ضيف في الغرفه في اي وقت ( مستاجر جديد)وحصل معي س ١٢:٣٠ صان تم طرق الباب علي وكنت علي وشك النوم فلم استجب له اولاثم بعد استمرار الطرق اكثر من ثلاث مرات فتحت فاذا بالعامل ومعه بطاقه الباب ومع نزيل فتاسف والقي باللوم علي الاستقبال فتم سحب البطاقه منه بعد اتضح ان بطاقتي تم الغاءها وتم تنشيط بطاقه النزيل الجديد مكانهابعدها اتصل الاستقبال يتاسف من هذا الغلط وانه بدون قصد ( لازم يهتمون بهذا الامر )٥- وقت الذروه يبغي لك نصف ساعه او اكثر تمسك سري عند الاصنصيل ( زحمه قبل الصلوات )٦- المطعم ما فيه الا وجبه فطور ( لم اعجب بالاصناف ) ومع ذلك عليهاا رسوم ٢٥ ريال للشخص٧- النت غير موفر الا عند الاستقبال فقط</t>
  </si>
  <si>
    <t>“جيده”. قربه من الاماكن التي تعجبني. نقص في بعض الخدمات المقدمه للغرف</t>
  </si>
  <si>
    <t>“الطائف”. الموقع. دورات المياه والاثاث</t>
  </si>
  <si>
    <t>“ليس به غير قرب المكان من الحرم المكي الشريف”. الموقع مناسب بالنسبه للحرم. وجود جلسات استراحه امام مدخل الغرف مما يتسبب في الازعاج من قبل بعض الزوار وجلستهم للدردشه امام الغرف دون مراعاه للضيوف النزلاء</t>
  </si>
  <si>
    <t>“جيده”. النظافه. الرقم المسجل في الموقع مفصوال</t>
  </si>
  <si>
    <t>“جيد”. توفر التلفاز في الصاله والغرف .. والموظفين متعاونين لقد انتهت بطاريه سيارتنا وقاموا بمساعدتنا بكل رحابه صدر. الاثاث قديم والمساحات ضيقه حجزت غرفه وصاله والحمام ضيق ولم يتم توفير الفرشاه والمعجون والافطار كميه قليله جدا مقارنه بالمبلغ الدفوع. وطلبت لحاف ومخدات ولم يتم الترفير بالعدد المطلوب والسعر غالي</t>
  </si>
  <si>
    <t>“التطور مطلوب”. الموقع. عدم توفر المواقف للسيارات عدم توفر الواي فاي في الغرف مجانا</t>
  </si>
  <si>
    <t>“لا باس به ، موقعه قريب من الحرم”. بشاشه موظفي الاستقبالالافطار جيدقرب الموقع. احد الاسره ذو مرتبه قاسيه جداالتلفاز في احد الغرف لا يعمللا توجد سجاده صلاه لا يوجد واي فاي بالغرف</t>
  </si>
  <si>
    <t>“الاقامه في ايبيس”. النظافه. موقعه + ضيق الغرف + جاي تعبان يقولي مافيه احد يخدمك اخدم نفسك وطلع او نزل الشنط هذا فندق رجال اعمال + السرير ضيق</t>
  </si>
  <si>
    <t>“مااجمل سنترو روتانا ابوظبي”. وجود الغرف التي قمت بحجزها. النظافه</t>
  </si>
  <si>
    <t>“الرياض”. . الاكل في الغرف سيي للغايه</t>
  </si>
  <si>
    <t>“شرح مفصل لاقامه ٥ ليالي”. اهلا،،من باب اننا نتساعد قيمت لكم والا عمري والله ماحبيت هالتقييمات..الشي الوحيد اللي اعجبني انه قريب من الحرم ولله الحمد. سكنت ٥ ايام تقريبا،،دخلت وطلعت وماجتني المغسله ع كثر ماطلبتهم.اتصلت اطلب قهوه وتاخر علي،،دقيت اشيك قال ي اخي ماانت بالغرفه..طلع رقم تحويلتي يختلف عن الغرفه😩المواقف المواقف اسوا شي واجهني.البوفيه خصوصا الافطار زحمه زحمه واكلهم اللهم لك الحمد .ماادري هل هو عشان زحمه اجازه وموسم والا فعلا ماعندهم دبره...للامانه المواقف تقريبا ٢٠ ويعطونك كرت تدخل واذا مليانه مافيه موقف مايدخلونك...توقف بعيييد بعد مسافه ٧٠٠ متر(موقف نظامي) واذا تبي تغامر بالشوارع جنبك عاد شي ثاني.دعواتي لكم بالتوفيق</t>
  </si>
  <si>
    <t>“لاباس به لمن لديه نساء”. القرب من الحرم وخاصه للنساء. الغرف ضيقه جدا</t>
  </si>
  <si>
    <t>“فكر كثيرا قبل اتخاذ القرار”. الموقع والخدمات القريبه. الحقيقه احد موظفي الامن غير مهتم بنظافته الشخصيه وكانه لم يستحم من سنه وهو واجه الفندق</t>
  </si>
  <si>
    <t>“يعتبر عنونا للخدمات المتواضعه جدا”. الموقع جيد. الواي فاي سئ للغايهمواقف السيارات سيئه جدا جدا جدا ولا يوجد درج كهربائي من المواقف للغرف</t>
  </si>
  <si>
    <t>“لا ينفع للعرسان نهائيا”. الموقع - فخامه المبني - الهدوء. بطاقه الغرفه لاتفتح حيث انني كم مره اخرج من الغرفه واعود واجد البطاقه لاتفتح الباب واتصل عليهم وانتظر طويلا حتي ياتي احد منهم ببطاقه اخري ليفتح الباب. كذلك المطعم دون المستوي وكذلك بكج العرسان 0 من عشره. حاطين كم حبه ورده وكيكه صغيره جدا وحبيتين موز وعنب. الجو العام شبه كئيب</t>
  </si>
  <si>
    <t>“يورك قديم”. موقعه بوسط البلدتعامل الموظفين ودودعدم سحب مبلغ تامينتاخير موعد المغادره. مواقف سيارات (متوفره وتحتاج سياره للذهاب للموقف)التلفز قديم والقنوات قليلهعدم توفر غلايه</t>
  </si>
  <si>
    <t>“دبر نفسك في هذا الفندق”. الباركن والوايفاي والهدوء. لا تتوفر ادوات الحمام سوي منشفه والباقي دبر نفسك</t>
  </si>
  <si>
    <t>“فندق جميل”. الهدوء. النظافه سيئه .. لي يومين واضع ورقه تنظيف الغرفه علي الباب ولم يتم التنظيف</t>
  </si>
  <si>
    <t>“حفر الباطن _ السعوديه”. مطاعم متوفره بكثره بالفندق. لا يوجد لوحه باسم الفندق والعنوان غير واضحه حيث ان الفندق يقع خلف دار التوحيد ولا توجد المواقف الجهه</t>
  </si>
  <si>
    <t>“الموقع ممتازلقربه من منطقه البلدو اطلاله علي البحيره”. الموقع والسرير. النظافه</t>
  </si>
  <si>
    <t>“اللحياني . كم”. اشكركم فريق بوكنجبس حبيت اود انتبهكم بان فريق العمل في فندق اراك المجيدي تعاملهم سي جدا في الرسبشان مع العلم بان الحجز كان معه موقف سياره وقالوا لازم تدفع كل يوم 50 ريال للموقف عمليه استغلال من الفندق والموظفين ليش هذا باقي الفنادق جميعها موفره مواقف للنزالاء هذا ولكم تحياتي. عدم التعاون من قبل موظفين الرسبشان</t>
  </si>
  <si>
    <t>“شكرا”. موقع واعلان الفندق. النظافه والسعر</t>
  </si>
  <si>
    <t>“الاستقبال”. . تم حجز غرفه سرير توائم ولم اتيت الي الفندق محجوز لي قياسي وزاد السعر عندي بالعقد من الموقع البوكنق توئم وعند الفندق بالعقد قياسي الرجاء التاكد</t>
  </si>
  <si>
    <t>“لايستحق المبلغ المدفوع”. النظافه ممتازه والهدوء والاستقبال وكذلك وجبه الفطور. القيمه مرتفعه مقابل الخدمهلم يكن السكن في المبني الرئيسي وهذه يجب الانتباه لها فبل الحجز لان الموضوع مبهم ولايتضح لك ذلك الا بعد دفع المبلغ للاسف</t>
  </si>
  <si>
    <t>“فندق ريفان”. الواي فاي. كل شي متعلق بالغرفه</t>
  </si>
  <si>
    <t>“الاسعار مختلفه عن البوكنق”. موقع الشقق قريب من المترو. حجزت من البوكنق ب313 ريال ولما وصلت ابغي اسكن اخذ مني 460 ريال ايضا نظافه الاثاث</t>
  </si>
  <si>
    <t>“جيد جدا”. اعجبني الهدوء بالممرات الغرف نظافه كانت جيده. الموظفون لم يكون بكامل الابتسامهدخول الزوار 240 درهم حرام وظلم ياخذون هالفلوس للزوارالاكل غالي جدا ولا يوجد تنوع كامل سعر غسيل الملابس والكويغاليه جدا جدا جدا مقارنه بفنادق 5 نجوم وعالميه اسعرها مناسبهعند مغادرت الفندق وجدت مبالغ اضافيه حسبوها عليسرت انا واياهم في جدال كبير حتي ابعدو عن المبلغ اللي اضافوه بغير حق</t>
  </si>
  <si>
    <t>“Cap ten ali. ✈️”. الشكر للاخ احمد الهنيدي والسيد. اكرامي الدمياطي. الطاقم العمال النظافه وعدم الالمام بالمهام الموكلين بالعمل ووعد الاخ. الاستاذ. احمد بتغير الطاقم الهاوس سكيب قريباولي ملاحظه بشان التطوير مهم من المالك والمدير المسئول عنه وكذلك الطاقم بالرسبش المتابعه مهمه للنجاح والتطوير. والشكر الجزيل لهم مع اني كان هناك تفاهم بيني وبين الموظف فيصل يكون التمديد لغايه الساعه ٧ بشان الرحله وافادني. تمام باللغه اللغه لديه وتفاجات ان حين قمت بتوديعه وتشيكه للغرفه فاجاني بدفع ٢٢٥ نصف يوم. هنا يجيب ان يفهم ويتفهم ويفهم النزيل سوف يكون دفع وهذه لا مشكله لي ولكن خاب واستخاب فال لي الزم دفع</t>
  </si>
  <si>
    <t>“فندق جميل لكن دفت زياده عن حجزي 140 درهم تقريبا”. الفندق جيد لكن يريد السكن قريب من عمله. لا يقدم بالمني شاي و كافي والمشكله الازعاج</t>
  </si>
  <si>
    <t>“الفندق ٤ نجوم او اقل”. صف السياراتواي فاي فريسرير اضافي فريالنظافه جيدهسرير مريحديكور جديدقنوات شوتايممكواه لكي الملابسسخان ماء للشاهي والقهوهمسبح خارجي. التاخير في الدخولالانترنت ضعيف في بعض الاحيانالتكييف ضعيفالشور للاستحمام بارد ولم اعرف كيف اشغلهالشامبو يجعد الشعرقنوات التلفاز تتقطع في حال ضعف الانتر نتلا يوجد محول كهرباء قريب في الصالهبعيد عن المدينهاسعار المطعم في حال الطلب في الغرفه اوالبوفيه مبالغ فيها١بيبسي ١٨ درهم مع السيرفس ١٠ دراهم المجموع ٢٨ درهمواضافه مبلغ وقدره ٤٠ درهم كل ليله علي سعر الغرفه بمسما سياحه وانا مواطن وليسا سايحا</t>
  </si>
  <si>
    <t>“شي ندمت عليه”. البراحه والوسع في الشقه. اخذ مقابل من المال لاستخدامي الهاتف بالاتصال لخدمه الغرف وكان 8 دراهم وهذا لم اعهده من قبل</t>
  </si>
  <si>
    <t>Count</t>
  </si>
  <si>
    <t>Noise Narrator 1</t>
  </si>
  <si>
    <t>Noise Narrator 2</t>
  </si>
  <si>
    <t>COUNT</t>
  </si>
  <si>
    <t>This is the percentage that narrtor 1 believes that it is noise (mislabeled as Negative, where it should be Positive)</t>
  </si>
  <si>
    <t>This is the percentage that narrtor 2 believes that it is noise (mislabeled as Negative, where it should be Positive)</t>
  </si>
  <si>
    <t>This is the percentage that both narrotors believe that it is noise  (mislabeled as Negative, where it should be Positive)</t>
  </si>
  <si>
    <t>Narrator 1 Noise % (FP)</t>
  </si>
  <si>
    <t>Narrator 2 Noise % (FP)</t>
  </si>
  <si>
    <t>Narrotors Agrrement Noise % (FP)</t>
  </si>
  <si>
    <t>Percentage</t>
  </si>
  <si>
    <t>AND</t>
  </si>
  <si>
    <t>FALSE COUNT</t>
  </si>
  <si>
    <t>Disagreement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</si>
</sst>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0" fontId="16" fillId="0" borderId="0" xfId="0" applyFont="1"/>
    <xf numFmtId="0" fontId="16" fillId="0" borderId="0" xfId="0" applyFont="1" applyAlignment="1">
      <alignment horizontal="center"/>
    </xf>
    <xf numFmtId="0" fontId="16" fillId="33"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A73D6-2982-47C9-9B3D-34464353F25F}">
  <dimension ref="A1:K271"/>
  <sheetViews>
    <sheetView tabSelected="1" topLeftCell="A242" zoomScale="90" zoomScaleNormal="90" workbookViewId="0">
      <selection activeCell="L259" sqref="L259"/>
    </sheetView>
  </sheetViews>
  <sheetFormatPr defaultRowHeight="14.4" x14ac:dyDescent="0.3"/>
  <cols>
    <col min="2" max="2" width="30.44140625" customWidth="1"/>
    <col min="3" max="3" width="11" customWidth="1"/>
    <col min="4" max="4" width="7.6640625" customWidth="1"/>
    <col min="7" max="7" width="12" bestFit="1" customWidth="1"/>
    <col min="8" max="9" width="14.33203125" bestFit="1" customWidth="1"/>
    <col min="11" max="11" width="13.44140625" bestFit="1" customWidth="1"/>
  </cols>
  <sheetData>
    <row r="1" spans="1:11" x14ac:dyDescent="0.3">
      <c r="A1" s="3" t="s">
        <v>0</v>
      </c>
      <c r="B1" s="3" t="s">
        <v>1</v>
      </c>
      <c r="C1" s="3" t="s">
        <v>2</v>
      </c>
      <c r="D1" s="3" t="s">
        <v>3</v>
      </c>
      <c r="E1" s="3" t="s">
        <v>4</v>
      </c>
      <c r="F1" s="3" t="s">
        <v>5</v>
      </c>
      <c r="G1" s="3" t="s">
        <v>6</v>
      </c>
      <c r="H1" s="3" t="s">
        <v>270</v>
      </c>
      <c r="I1" s="3" t="s">
        <v>271</v>
      </c>
      <c r="J1" s="3" t="s">
        <v>280</v>
      </c>
      <c r="K1" s="3" t="s">
        <v>282</v>
      </c>
    </row>
    <row r="2" spans="1:11" x14ac:dyDescent="0.3">
      <c r="A2">
        <v>2304</v>
      </c>
      <c r="B2" t="s">
        <v>7</v>
      </c>
      <c r="C2" t="s">
        <v>8</v>
      </c>
      <c r="D2" t="s">
        <v>9</v>
      </c>
      <c r="E2">
        <v>0.99971264599999998</v>
      </c>
      <c r="F2">
        <v>2.8727199999999998E-4</v>
      </c>
      <c r="G2">
        <v>0.99971264599999998</v>
      </c>
      <c r="H2" t="b">
        <v>1</v>
      </c>
      <c r="I2" t="b">
        <v>1</v>
      </c>
      <c r="J2" t="b">
        <f>AND(H2:I2)</f>
        <v>1</v>
      </c>
      <c r="K2" t="b">
        <f>NOT(H2=I2)</f>
        <v>0</v>
      </c>
    </row>
    <row r="3" spans="1:11" x14ac:dyDescent="0.3">
      <c r="A3">
        <v>7774</v>
      </c>
      <c r="B3" t="s">
        <v>10</v>
      </c>
      <c r="C3" t="s">
        <v>8</v>
      </c>
      <c r="D3" t="s">
        <v>9</v>
      </c>
      <c r="E3">
        <v>0.99315357199999998</v>
      </c>
      <c r="F3">
        <v>6.8464090000000003E-3</v>
      </c>
      <c r="G3">
        <v>0.99315357199999998</v>
      </c>
      <c r="H3" t="b">
        <v>1</v>
      </c>
      <c r="I3" t="b">
        <v>0</v>
      </c>
      <c r="J3" t="b">
        <f t="shared" ref="J3:J66" si="0">AND(H3:I3)</f>
        <v>0</v>
      </c>
      <c r="K3" t="b">
        <f t="shared" ref="K3:K66" si="1">NOT(H3=I3)</f>
        <v>1</v>
      </c>
    </row>
    <row r="4" spans="1:11" x14ac:dyDescent="0.3">
      <c r="A4">
        <v>2650</v>
      </c>
      <c r="B4" t="s">
        <v>11</v>
      </c>
      <c r="C4" t="s">
        <v>8</v>
      </c>
      <c r="D4" t="s">
        <v>9</v>
      </c>
      <c r="E4">
        <v>0.99302750799999995</v>
      </c>
      <c r="F4">
        <v>6.9724829999999998E-3</v>
      </c>
      <c r="G4">
        <v>0.99302750799999995</v>
      </c>
      <c r="H4" t="b">
        <v>1</v>
      </c>
      <c r="I4" t="b">
        <v>1</v>
      </c>
      <c r="J4" t="b">
        <f t="shared" si="0"/>
        <v>1</v>
      </c>
      <c r="K4" t="b">
        <f t="shared" si="1"/>
        <v>0</v>
      </c>
    </row>
    <row r="5" spans="1:11" x14ac:dyDescent="0.3">
      <c r="A5">
        <v>443</v>
      </c>
      <c r="B5" t="s">
        <v>12</v>
      </c>
      <c r="C5" t="s">
        <v>8</v>
      </c>
      <c r="D5" t="s">
        <v>9</v>
      </c>
      <c r="E5">
        <v>0.99163353399999998</v>
      </c>
      <c r="F5">
        <v>8.3664450000000001E-3</v>
      </c>
      <c r="G5">
        <v>0.99163353399999998</v>
      </c>
      <c r="H5" t="b">
        <v>1</v>
      </c>
      <c r="I5" t="b">
        <v>1</v>
      </c>
      <c r="J5" t="b">
        <f t="shared" si="0"/>
        <v>1</v>
      </c>
      <c r="K5" t="b">
        <f t="shared" si="1"/>
        <v>0</v>
      </c>
    </row>
    <row r="6" spans="1:11" x14ac:dyDescent="0.3">
      <c r="A6">
        <v>6279</v>
      </c>
      <c r="B6" t="s">
        <v>13</v>
      </c>
      <c r="C6" t="s">
        <v>8</v>
      </c>
      <c r="D6" t="s">
        <v>9</v>
      </c>
      <c r="E6">
        <v>0.99098700299999998</v>
      </c>
      <c r="F6">
        <v>9.0129519999999994E-3</v>
      </c>
      <c r="G6">
        <v>0.99098700299999998</v>
      </c>
      <c r="H6" t="b">
        <v>1</v>
      </c>
      <c r="I6" t="b">
        <v>1</v>
      </c>
      <c r="J6" t="b">
        <f t="shared" si="0"/>
        <v>1</v>
      </c>
      <c r="K6" t="b">
        <f t="shared" si="1"/>
        <v>0</v>
      </c>
    </row>
    <row r="7" spans="1:11" x14ac:dyDescent="0.3">
      <c r="A7">
        <v>7033</v>
      </c>
      <c r="B7" t="s">
        <v>14</v>
      </c>
      <c r="C7" t="s">
        <v>8</v>
      </c>
      <c r="D7" t="s">
        <v>9</v>
      </c>
      <c r="E7">
        <v>0.990746617</v>
      </c>
      <c r="F7">
        <v>9.2533479999999998E-3</v>
      </c>
      <c r="G7">
        <v>0.990746617</v>
      </c>
      <c r="H7" t="b">
        <v>1</v>
      </c>
      <c r="I7" t="b">
        <v>1</v>
      </c>
      <c r="J7" t="b">
        <f t="shared" si="0"/>
        <v>1</v>
      </c>
      <c r="K7" t="b">
        <f t="shared" si="1"/>
        <v>0</v>
      </c>
    </row>
    <row r="8" spans="1:11" x14ac:dyDescent="0.3">
      <c r="A8">
        <v>5643</v>
      </c>
      <c r="B8" t="s">
        <v>15</v>
      </c>
      <c r="C8" t="s">
        <v>8</v>
      </c>
      <c r="D8" t="s">
        <v>9</v>
      </c>
      <c r="E8">
        <v>0.99070727800000002</v>
      </c>
      <c r="F8">
        <v>9.2927189999999996E-3</v>
      </c>
      <c r="G8">
        <v>0.99070727800000002</v>
      </c>
      <c r="H8" t="b">
        <v>1</v>
      </c>
      <c r="I8" t="b">
        <v>1</v>
      </c>
      <c r="J8" t="b">
        <f t="shared" si="0"/>
        <v>1</v>
      </c>
      <c r="K8" t="b">
        <f t="shared" si="1"/>
        <v>0</v>
      </c>
    </row>
    <row r="9" spans="1:11" x14ac:dyDescent="0.3">
      <c r="A9">
        <v>1346</v>
      </c>
      <c r="B9" t="s">
        <v>16</v>
      </c>
      <c r="C9" t="s">
        <v>8</v>
      </c>
      <c r="D9" t="s">
        <v>9</v>
      </c>
      <c r="E9">
        <v>0.99035757800000002</v>
      </c>
      <c r="F9">
        <v>9.6424549999999994E-3</v>
      </c>
      <c r="G9">
        <v>0.99035757800000002</v>
      </c>
      <c r="H9" t="b">
        <v>1</v>
      </c>
      <c r="I9" t="b">
        <v>1</v>
      </c>
      <c r="J9" t="b">
        <f t="shared" si="0"/>
        <v>1</v>
      </c>
      <c r="K9" t="b">
        <f t="shared" si="1"/>
        <v>0</v>
      </c>
    </row>
    <row r="10" spans="1:11" x14ac:dyDescent="0.3">
      <c r="A10">
        <v>5558</v>
      </c>
      <c r="B10" t="s">
        <v>17</v>
      </c>
      <c r="C10" t="s">
        <v>8</v>
      </c>
      <c r="D10" t="s">
        <v>9</v>
      </c>
      <c r="E10">
        <v>0.99006104500000003</v>
      </c>
      <c r="F10">
        <v>9.93898E-3</v>
      </c>
      <c r="G10">
        <v>0.99006104500000003</v>
      </c>
      <c r="H10" t="b">
        <v>0</v>
      </c>
      <c r="I10" t="b">
        <v>0</v>
      </c>
      <c r="J10" t="b">
        <f t="shared" si="0"/>
        <v>0</v>
      </c>
      <c r="K10" t="b">
        <f t="shared" si="1"/>
        <v>0</v>
      </c>
    </row>
    <row r="11" spans="1:11" x14ac:dyDescent="0.3">
      <c r="A11">
        <v>9781</v>
      </c>
      <c r="B11" t="s">
        <v>18</v>
      </c>
      <c r="C11" t="s">
        <v>8</v>
      </c>
      <c r="D11" t="s">
        <v>9</v>
      </c>
      <c r="E11">
        <v>0.99005484600000004</v>
      </c>
      <c r="F11">
        <v>9.9451379999999992E-3</v>
      </c>
      <c r="G11">
        <v>0.99005484600000004</v>
      </c>
      <c r="H11" t="b">
        <v>0</v>
      </c>
      <c r="I11" t="b">
        <v>0</v>
      </c>
      <c r="J11" t="b">
        <f t="shared" si="0"/>
        <v>0</v>
      </c>
      <c r="K11" t="b">
        <f t="shared" si="1"/>
        <v>0</v>
      </c>
    </row>
    <row r="12" spans="1:11" x14ac:dyDescent="0.3">
      <c r="A12">
        <v>7631</v>
      </c>
      <c r="B12" t="s">
        <v>19</v>
      </c>
      <c r="C12" t="s">
        <v>8</v>
      </c>
      <c r="D12" t="s">
        <v>9</v>
      </c>
      <c r="E12">
        <v>0.99002468600000004</v>
      </c>
      <c r="F12">
        <v>9.975355E-3</v>
      </c>
      <c r="G12">
        <v>0.99002468600000004</v>
      </c>
      <c r="H12" t="b">
        <v>1</v>
      </c>
      <c r="I12" t="b">
        <v>1</v>
      </c>
      <c r="J12" t="b">
        <f t="shared" si="0"/>
        <v>1</v>
      </c>
      <c r="K12" t="b">
        <f t="shared" si="1"/>
        <v>0</v>
      </c>
    </row>
    <row r="13" spans="1:11" x14ac:dyDescent="0.3">
      <c r="A13">
        <v>3688</v>
      </c>
      <c r="B13" t="s">
        <v>20</v>
      </c>
      <c r="C13" t="s">
        <v>8</v>
      </c>
      <c r="D13" t="s">
        <v>9</v>
      </c>
      <c r="E13">
        <v>0.98983079200000001</v>
      </c>
      <c r="F13">
        <v>1.0169235E-2</v>
      </c>
      <c r="G13">
        <v>0.98983079200000001</v>
      </c>
      <c r="H13" t="b">
        <v>1</v>
      </c>
      <c r="I13" t="b">
        <v>1</v>
      </c>
      <c r="J13" t="b">
        <f t="shared" si="0"/>
        <v>1</v>
      </c>
      <c r="K13" t="b">
        <f t="shared" si="1"/>
        <v>0</v>
      </c>
    </row>
    <row r="14" spans="1:11" x14ac:dyDescent="0.3">
      <c r="A14">
        <v>311</v>
      </c>
      <c r="B14" t="s">
        <v>21</v>
      </c>
      <c r="C14" t="s">
        <v>8</v>
      </c>
      <c r="D14" t="s">
        <v>9</v>
      </c>
      <c r="E14">
        <v>0.98979705600000001</v>
      </c>
      <c r="F14">
        <v>1.0202947E-2</v>
      </c>
      <c r="G14">
        <v>0.98979705600000001</v>
      </c>
      <c r="H14" t="b">
        <v>1</v>
      </c>
      <c r="I14" t="b">
        <v>1</v>
      </c>
      <c r="J14" t="b">
        <f t="shared" si="0"/>
        <v>1</v>
      </c>
      <c r="K14" t="b">
        <f t="shared" si="1"/>
        <v>0</v>
      </c>
    </row>
    <row r="15" spans="1:11" x14ac:dyDescent="0.3">
      <c r="A15">
        <v>6946</v>
      </c>
      <c r="B15" t="s">
        <v>22</v>
      </c>
      <c r="C15" t="s">
        <v>8</v>
      </c>
      <c r="D15" t="s">
        <v>9</v>
      </c>
      <c r="E15">
        <v>0.98978745899999998</v>
      </c>
      <c r="F15">
        <v>1.0212525E-2</v>
      </c>
      <c r="G15">
        <v>0.98978745899999998</v>
      </c>
      <c r="H15" t="b">
        <v>1</v>
      </c>
      <c r="I15" t="b">
        <v>1</v>
      </c>
      <c r="J15" t="b">
        <f t="shared" si="0"/>
        <v>1</v>
      </c>
      <c r="K15" t="b">
        <f t="shared" si="1"/>
        <v>0</v>
      </c>
    </row>
    <row r="16" spans="1:11" x14ac:dyDescent="0.3">
      <c r="A16">
        <v>9771</v>
      </c>
      <c r="B16" t="s">
        <v>23</v>
      </c>
      <c r="C16" t="s">
        <v>8</v>
      </c>
      <c r="D16" t="s">
        <v>9</v>
      </c>
      <c r="E16">
        <v>0.989533365</v>
      </c>
      <c r="F16">
        <v>1.0466596999999999E-2</v>
      </c>
      <c r="G16">
        <v>0.989533365</v>
      </c>
      <c r="H16" t="b">
        <v>1</v>
      </c>
      <c r="I16" t="b">
        <v>1</v>
      </c>
      <c r="J16" t="b">
        <f t="shared" si="0"/>
        <v>1</v>
      </c>
      <c r="K16" t="b">
        <f t="shared" si="1"/>
        <v>0</v>
      </c>
    </row>
    <row r="17" spans="1:11" x14ac:dyDescent="0.3">
      <c r="A17">
        <v>1644</v>
      </c>
      <c r="B17" t="s">
        <v>24</v>
      </c>
      <c r="C17" t="s">
        <v>8</v>
      </c>
      <c r="D17" t="s">
        <v>9</v>
      </c>
      <c r="E17">
        <v>0.98952722500000001</v>
      </c>
      <c r="F17">
        <v>1.0472811E-2</v>
      </c>
      <c r="G17">
        <v>0.98952722500000001</v>
      </c>
      <c r="H17" t="b">
        <v>1</v>
      </c>
      <c r="I17" t="b">
        <v>1</v>
      </c>
      <c r="J17" t="b">
        <f t="shared" si="0"/>
        <v>1</v>
      </c>
      <c r="K17" t="b">
        <f t="shared" si="1"/>
        <v>0</v>
      </c>
    </row>
    <row r="18" spans="1:11" x14ac:dyDescent="0.3">
      <c r="A18">
        <v>3689</v>
      </c>
      <c r="B18" t="s">
        <v>25</v>
      </c>
      <c r="C18" t="s">
        <v>8</v>
      </c>
      <c r="D18" t="s">
        <v>9</v>
      </c>
      <c r="E18">
        <v>0.98941957999999997</v>
      </c>
      <c r="F18">
        <v>1.0580393E-2</v>
      </c>
      <c r="G18">
        <v>0.98941957999999997</v>
      </c>
      <c r="H18" t="b">
        <v>1</v>
      </c>
      <c r="I18" t="b">
        <v>1</v>
      </c>
      <c r="J18" t="b">
        <f t="shared" si="0"/>
        <v>1</v>
      </c>
      <c r="K18" t="b">
        <f t="shared" si="1"/>
        <v>0</v>
      </c>
    </row>
    <row r="19" spans="1:11" x14ac:dyDescent="0.3">
      <c r="A19">
        <v>1243</v>
      </c>
      <c r="B19" t="s">
        <v>26</v>
      </c>
      <c r="C19" t="s">
        <v>8</v>
      </c>
      <c r="D19" t="s">
        <v>9</v>
      </c>
      <c r="E19">
        <v>0.98939335299999998</v>
      </c>
      <c r="F19">
        <v>1.0606647E-2</v>
      </c>
      <c r="G19">
        <v>0.98939335299999998</v>
      </c>
      <c r="H19" t="b">
        <v>1</v>
      </c>
      <c r="I19" t="b">
        <v>0</v>
      </c>
      <c r="J19" t="b">
        <f t="shared" si="0"/>
        <v>0</v>
      </c>
      <c r="K19" t="b">
        <f t="shared" si="1"/>
        <v>1</v>
      </c>
    </row>
    <row r="20" spans="1:11" x14ac:dyDescent="0.3">
      <c r="A20">
        <v>8151</v>
      </c>
      <c r="B20" t="s">
        <v>27</v>
      </c>
      <c r="C20" t="s">
        <v>8</v>
      </c>
      <c r="D20" t="s">
        <v>9</v>
      </c>
      <c r="E20">
        <v>0.98936069000000004</v>
      </c>
      <c r="F20">
        <v>1.0639388E-2</v>
      </c>
      <c r="G20">
        <v>0.98936069000000004</v>
      </c>
      <c r="H20" t="b">
        <v>1</v>
      </c>
      <c r="I20" t="b">
        <v>1</v>
      </c>
      <c r="J20" t="b">
        <f t="shared" si="0"/>
        <v>1</v>
      </c>
      <c r="K20" t="b">
        <f t="shared" si="1"/>
        <v>0</v>
      </c>
    </row>
    <row r="21" spans="1:11" x14ac:dyDescent="0.3">
      <c r="A21">
        <v>7731</v>
      </c>
      <c r="B21" t="s">
        <v>28</v>
      </c>
      <c r="C21" t="s">
        <v>8</v>
      </c>
      <c r="D21" t="s">
        <v>9</v>
      </c>
      <c r="E21">
        <v>0.98935669699999995</v>
      </c>
      <c r="F21">
        <v>1.0643273E-2</v>
      </c>
      <c r="G21">
        <v>0.98935669699999995</v>
      </c>
      <c r="H21" t="b">
        <v>1</v>
      </c>
      <c r="I21" t="b">
        <v>1</v>
      </c>
      <c r="J21" t="b">
        <f t="shared" si="0"/>
        <v>1</v>
      </c>
      <c r="K21" t="b">
        <f t="shared" si="1"/>
        <v>0</v>
      </c>
    </row>
    <row r="22" spans="1:11" x14ac:dyDescent="0.3">
      <c r="A22">
        <v>9155</v>
      </c>
      <c r="B22" t="s">
        <v>29</v>
      </c>
      <c r="C22" t="s">
        <v>8</v>
      </c>
      <c r="D22" t="s">
        <v>9</v>
      </c>
      <c r="E22">
        <v>0.98930078700000001</v>
      </c>
      <c r="F22">
        <v>1.0699227E-2</v>
      </c>
      <c r="G22">
        <v>0.98930078700000001</v>
      </c>
      <c r="H22" t="b">
        <v>1</v>
      </c>
      <c r="I22" t="b">
        <v>1</v>
      </c>
      <c r="J22" t="b">
        <f t="shared" si="0"/>
        <v>1</v>
      </c>
      <c r="K22" t="b">
        <f t="shared" si="1"/>
        <v>0</v>
      </c>
    </row>
    <row r="23" spans="1:11" x14ac:dyDescent="0.3">
      <c r="A23">
        <v>775</v>
      </c>
      <c r="B23" t="s">
        <v>30</v>
      </c>
      <c r="C23" t="s">
        <v>8</v>
      </c>
      <c r="D23" t="s">
        <v>9</v>
      </c>
      <c r="E23">
        <v>0.98909133699999996</v>
      </c>
      <c r="F23">
        <v>1.0908643000000001E-2</v>
      </c>
      <c r="G23">
        <v>0.98909133699999996</v>
      </c>
      <c r="H23" t="b">
        <v>1</v>
      </c>
      <c r="I23" t="b">
        <v>1</v>
      </c>
      <c r="J23" t="b">
        <f t="shared" si="0"/>
        <v>1</v>
      </c>
      <c r="K23" t="b">
        <f t="shared" si="1"/>
        <v>0</v>
      </c>
    </row>
    <row r="24" spans="1:11" x14ac:dyDescent="0.3">
      <c r="A24">
        <v>4903</v>
      </c>
      <c r="B24" t="s">
        <v>31</v>
      </c>
      <c r="C24" t="s">
        <v>8</v>
      </c>
      <c r="D24" t="s">
        <v>9</v>
      </c>
      <c r="E24">
        <v>0.98907882000000003</v>
      </c>
      <c r="F24">
        <v>1.0921169E-2</v>
      </c>
      <c r="G24">
        <v>0.98907882000000003</v>
      </c>
      <c r="H24" t="b">
        <v>1</v>
      </c>
      <c r="I24" t="b">
        <v>1</v>
      </c>
      <c r="J24" t="b">
        <f t="shared" si="0"/>
        <v>1</v>
      </c>
      <c r="K24" t="b">
        <f t="shared" si="1"/>
        <v>0</v>
      </c>
    </row>
    <row r="25" spans="1:11" x14ac:dyDescent="0.3">
      <c r="A25">
        <v>8088</v>
      </c>
      <c r="B25" t="s">
        <v>32</v>
      </c>
      <c r="C25" t="s">
        <v>8</v>
      </c>
      <c r="D25" t="s">
        <v>9</v>
      </c>
      <c r="E25">
        <v>0.98900908200000004</v>
      </c>
      <c r="F25">
        <v>1.0990955E-2</v>
      </c>
      <c r="G25">
        <v>0.98900908200000004</v>
      </c>
      <c r="H25" t="b">
        <v>1</v>
      </c>
      <c r="I25" t="b">
        <v>0</v>
      </c>
      <c r="J25" t="b">
        <f t="shared" si="0"/>
        <v>0</v>
      </c>
      <c r="K25" t="b">
        <f t="shared" si="1"/>
        <v>1</v>
      </c>
    </row>
    <row r="26" spans="1:11" x14ac:dyDescent="0.3">
      <c r="A26">
        <v>6653</v>
      </c>
      <c r="B26" t="s">
        <v>33</v>
      </c>
      <c r="C26" t="s">
        <v>8</v>
      </c>
      <c r="D26" t="s">
        <v>9</v>
      </c>
      <c r="E26">
        <v>0.98898881699999996</v>
      </c>
      <c r="F26">
        <v>1.1011135999999999E-2</v>
      </c>
      <c r="G26">
        <v>0.98898881699999996</v>
      </c>
      <c r="H26" t="b">
        <v>1</v>
      </c>
      <c r="I26" t="b">
        <v>1</v>
      </c>
      <c r="J26" t="b">
        <f t="shared" si="0"/>
        <v>1</v>
      </c>
      <c r="K26" t="b">
        <f t="shared" si="1"/>
        <v>0</v>
      </c>
    </row>
    <row r="27" spans="1:11" x14ac:dyDescent="0.3">
      <c r="A27">
        <v>5066</v>
      </c>
      <c r="B27" t="s">
        <v>34</v>
      </c>
      <c r="C27" t="s">
        <v>8</v>
      </c>
      <c r="D27" t="s">
        <v>9</v>
      </c>
      <c r="E27">
        <v>0.988821387</v>
      </c>
      <c r="F27">
        <v>1.1178627999999999E-2</v>
      </c>
      <c r="G27">
        <v>0.988821387</v>
      </c>
      <c r="H27" t="b">
        <v>1</v>
      </c>
      <c r="I27" t="b">
        <v>0</v>
      </c>
      <c r="J27" t="b">
        <f t="shared" si="0"/>
        <v>0</v>
      </c>
      <c r="K27" t="b">
        <f t="shared" si="1"/>
        <v>1</v>
      </c>
    </row>
    <row r="28" spans="1:11" x14ac:dyDescent="0.3">
      <c r="A28">
        <v>5773</v>
      </c>
      <c r="B28" t="s">
        <v>35</v>
      </c>
      <c r="C28" t="s">
        <v>8</v>
      </c>
      <c r="D28" t="s">
        <v>9</v>
      </c>
      <c r="E28">
        <v>0.98861593000000003</v>
      </c>
      <c r="F28">
        <v>1.1384076999999999E-2</v>
      </c>
      <c r="G28">
        <v>0.98861593000000003</v>
      </c>
      <c r="H28" t="b">
        <v>1</v>
      </c>
      <c r="I28" t="b">
        <v>1</v>
      </c>
      <c r="J28" t="b">
        <f t="shared" si="0"/>
        <v>1</v>
      </c>
      <c r="K28" t="b">
        <f t="shared" si="1"/>
        <v>0</v>
      </c>
    </row>
    <row r="29" spans="1:11" x14ac:dyDescent="0.3">
      <c r="A29">
        <v>109</v>
      </c>
      <c r="B29" t="s">
        <v>36</v>
      </c>
      <c r="C29" t="s">
        <v>8</v>
      </c>
      <c r="D29" t="s">
        <v>9</v>
      </c>
      <c r="E29">
        <v>0.98853403299999998</v>
      </c>
      <c r="F29">
        <v>1.1465948E-2</v>
      </c>
      <c r="G29">
        <v>0.98853403299999998</v>
      </c>
      <c r="H29" t="b">
        <v>1</v>
      </c>
      <c r="I29" t="b">
        <v>1</v>
      </c>
      <c r="J29" t="b">
        <f t="shared" si="0"/>
        <v>1</v>
      </c>
      <c r="K29" t="b">
        <f t="shared" si="1"/>
        <v>0</v>
      </c>
    </row>
    <row r="30" spans="1:11" x14ac:dyDescent="0.3">
      <c r="A30">
        <v>3999</v>
      </c>
      <c r="B30" t="s">
        <v>37</v>
      </c>
      <c r="C30" t="s">
        <v>8</v>
      </c>
      <c r="D30" t="s">
        <v>9</v>
      </c>
      <c r="E30">
        <v>0.98848778000000004</v>
      </c>
      <c r="F30">
        <v>1.1512219000000001E-2</v>
      </c>
      <c r="G30">
        <v>0.98848778000000004</v>
      </c>
      <c r="H30" t="b">
        <v>1</v>
      </c>
      <c r="I30" t="b">
        <v>1</v>
      </c>
      <c r="J30" t="b">
        <f t="shared" si="0"/>
        <v>1</v>
      </c>
      <c r="K30" t="b">
        <f t="shared" si="1"/>
        <v>0</v>
      </c>
    </row>
    <row r="31" spans="1:11" x14ac:dyDescent="0.3">
      <c r="A31">
        <v>6265</v>
      </c>
      <c r="B31" t="s">
        <v>38</v>
      </c>
      <c r="C31" t="s">
        <v>8</v>
      </c>
      <c r="D31" t="s">
        <v>9</v>
      </c>
      <c r="E31">
        <v>0.98846393799999999</v>
      </c>
      <c r="F31">
        <v>1.1536091E-2</v>
      </c>
      <c r="G31">
        <v>0.98846393799999999</v>
      </c>
      <c r="H31" t="b">
        <v>1</v>
      </c>
      <c r="I31" t="b">
        <v>1</v>
      </c>
      <c r="J31" t="b">
        <f t="shared" si="0"/>
        <v>1</v>
      </c>
      <c r="K31" t="b">
        <f t="shared" si="1"/>
        <v>0</v>
      </c>
    </row>
    <row r="32" spans="1:11" x14ac:dyDescent="0.3">
      <c r="A32">
        <v>1229</v>
      </c>
      <c r="B32" t="s">
        <v>39</v>
      </c>
      <c r="C32" t="s">
        <v>8</v>
      </c>
      <c r="D32" t="s">
        <v>9</v>
      </c>
      <c r="E32">
        <v>0.98845076600000004</v>
      </c>
      <c r="F32">
        <v>1.1549224E-2</v>
      </c>
      <c r="G32">
        <v>0.98845076600000004</v>
      </c>
      <c r="H32" t="b">
        <v>1</v>
      </c>
      <c r="I32" t="b">
        <v>1</v>
      </c>
      <c r="J32" t="b">
        <f t="shared" si="0"/>
        <v>1</v>
      </c>
      <c r="K32" t="b">
        <f t="shared" si="1"/>
        <v>0</v>
      </c>
    </row>
    <row r="33" spans="1:11" x14ac:dyDescent="0.3">
      <c r="A33">
        <v>494</v>
      </c>
      <c r="B33" t="s">
        <v>40</v>
      </c>
      <c r="C33" t="s">
        <v>8</v>
      </c>
      <c r="D33" t="s">
        <v>9</v>
      </c>
      <c r="E33">
        <v>0.98820006800000004</v>
      </c>
      <c r="F33">
        <v>1.1799946E-2</v>
      </c>
      <c r="G33">
        <v>0.98820006800000004</v>
      </c>
      <c r="H33" t="b">
        <v>1</v>
      </c>
      <c r="I33" t="b">
        <v>1</v>
      </c>
      <c r="J33" t="b">
        <f t="shared" si="0"/>
        <v>1</v>
      </c>
      <c r="K33" t="b">
        <f t="shared" si="1"/>
        <v>0</v>
      </c>
    </row>
    <row r="34" spans="1:11" x14ac:dyDescent="0.3">
      <c r="A34">
        <v>9405</v>
      </c>
      <c r="B34" t="s">
        <v>41</v>
      </c>
      <c r="C34" t="s">
        <v>8</v>
      </c>
      <c r="D34" t="s">
        <v>9</v>
      </c>
      <c r="E34">
        <v>0.98818111399999997</v>
      </c>
      <c r="F34">
        <v>1.1818923E-2</v>
      </c>
      <c r="G34">
        <v>0.98818111399999997</v>
      </c>
      <c r="H34" t="b">
        <v>1</v>
      </c>
      <c r="I34" t="b">
        <v>1</v>
      </c>
      <c r="J34" t="b">
        <f t="shared" si="0"/>
        <v>1</v>
      </c>
      <c r="K34" t="b">
        <f t="shared" si="1"/>
        <v>0</v>
      </c>
    </row>
    <row r="35" spans="1:11" x14ac:dyDescent="0.3">
      <c r="A35">
        <v>407</v>
      </c>
      <c r="B35" t="s">
        <v>42</v>
      </c>
      <c r="C35" t="s">
        <v>8</v>
      </c>
      <c r="D35" t="s">
        <v>9</v>
      </c>
      <c r="E35">
        <v>0.98780685700000004</v>
      </c>
      <c r="F35">
        <v>1.2193145000000001E-2</v>
      </c>
      <c r="G35">
        <v>0.98780685700000004</v>
      </c>
      <c r="H35" t="b">
        <v>1</v>
      </c>
      <c r="I35" t="b">
        <v>1</v>
      </c>
      <c r="J35" t="b">
        <f t="shared" si="0"/>
        <v>1</v>
      </c>
      <c r="K35" t="b">
        <f t="shared" si="1"/>
        <v>0</v>
      </c>
    </row>
    <row r="36" spans="1:11" x14ac:dyDescent="0.3">
      <c r="A36">
        <v>9319</v>
      </c>
      <c r="B36" t="s">
        <v>43</v>
      </c>
      <c r="C36" t="s">
        <v>8</v>
      </c>
      <c r="D36" t="s">
        <v>9</v>
      </c>
      <c r="E36">
        <v>0.98772847699999999</v>
      </c>
      <c r="F36">
        <v>1.2271513E-2</v>
      </c>
      <c r="G36">
        <v>0.98772847699999999</v>
      </c>
      <c r="H36" t="b">
        <v>1</v>
      </c>
      <c r="I36" t="b">
        <v>1</v>
      </c>
      <c r="J36" t="b">
        <f t="shared" si="0"/>
        <v>1</v>
      </c>
      <c r="K36" t="b">
        <f t="shared" si="1"/>
        <v>0</v>
      </c>
    </row>
    <row r="37" spans="1:11" x14ac:dyDescent="0.3">
      <c r="A37">
        <v>3419</v>
      </c>
      <c r="B37" t="s">
        <v>44</v>
      </c>
      <c r="C37" t="s">
        <v>8</v>
      </c>
      <c r="D37" t="s">
        <v>9</v>
      </c>
      <c r="E37">
        <v>0.98763674499999998</v>
      </c>
      <c r="F37">
        <v>1.2363315E-2</v>
      </c>
      <c r="G37">
        <v>0.98763674499999998</v>
      </c>
      <c r="H37" t="b">
        <v>1</v>
      </c>
      <c r="I37" t="b">
        <v>1</v>
      </c>
      <c r="J37" t="b">
        <f t="shared" si="0"/>
        <v>1</v>
      </c>
      <c r="K37" t="b">
        <f t="shared" si="1"/>
        <v>0</v>
      </c>
    </row>
    <row r="38" spans="1:11" x14ac:dyDescent="0.3">
      <c r="A38">
        <v>9698</v>
      </c>
      <c r="B38" t="s">
        <v>45</v>
      </c>
      <c r="C38" t="s">
        <v>8</v>
      </c>
      <c r="D38" t="s">
        <v>9</v>
      </c>
      <c r="E38">
        <v>0.98755949700000001</v>
      </c>
      <c r="F38">
        <v>1.2440512000000001E-2</v>
      </c>
      <c r="G38">
        <v>0.98755949700000001</v>
      </c>
      <c r="H38" t="b">
        <v>1</v>
      </c>
      <c r="I38" t="b">
        <v>1</v>
      </c>
      <c r="J38" t="b">
        <f t="shared" si="0"/>
        <v>1</v>
      </c>
      <c r="K38" t="b">
        <f t="shared" si="1"/>
        <v>0</v>
      </c>
    </row>
    <row r="39" spans="1:11" x14ac:dyDescent="0.3">
      <c r="A39">
        <v>7590</v>
      </c>
      <c r="B39" t="s">
        <v>46</v>
      </c>
      <c r="C39" t="s">
        <v>8</v>
      </c>
      <c r="D39" t="s">
        <v>9</v>
      </c>
      <c r="E39">
        <v>0.98750972699999995</v>
      </c>
      <c r="F39">
        <v>1.2490253E-2</v>
      </c>
      <c r="G39">
        <v>0.98750972699999995</v>
      </c>
      <c r="H39" t="b">
        <v>1</v>
      </c>
      <c r="I39" t="b">
        <v>1</v>
      </c>
      <c r="J39" t="b">
        <f t="shared" si="0"/>
        <v>1</v>
      </c>
      <c r="K39" t="b">
        <f t="shared" si="1"/>
        <v>0</v>
      </c>
    </row>
    <row r="40" spans="1:11" x14ac:dyDescent="0.3">
      <c r="A40">
        <v>10437</v>
      </c>
      <c r="B40" t="s">
        <v>47</v>
      </c>
      <c r="C40" t="s">
        <v>8</v>
      </c>
      <c r="D40" t="s">
        <v>9</v>
      </c>
      <c r="E40">
        <v>0.98743480400000005</v>
      </c>
      <c r="F40">
        <v>1.2565197E-2</v>
      </c>
      <c r="G40">
        <v>0.98743480400000005</v>
      </c>
      <c r="H40" t="b">
        <v>1</v>
      </c>
      <c r="I40" t="b">
        <v>1</v>
      </c>
      <c r="J40" t="b">
        <f t="shared" si="0"/>
        <v>1</v>
      </c>
      <c r="K40" t="b">
        <f t="shared" si="1"/>
        <v>0</v>
      </c>
    </row>
    <row r="41" spans="1:11" x14ac:dyDescent="0.3">
      <c r="A41">
        <v>8463</v>
      </c>
      <c r="B41" t="s">
        <v>48</v>
      </c>
      <c r="C41" t="s">
        <v>8</v>
      </c>
      <c r="D41" t="s">
        <v>9</v>
      </c>
      <c r="E41">
        <v>0.98734504000000001</v>
      </c>
      <c r="F41">
        <v>1.2654919000000001E-2</v>
      </c>
      <c r="G41">
        <v>0.98734504000000001</v>
      </c>
      <c r="H41" t="b">
        <v>0</v>
      </c>
      <c r="I41" t="b">
        <v>1</v>
      </c>
      <c r="J41" t="b">
        <f t="shared" si="0"/>
        <v>0</v>
      </c>
      <c r="K41" t="b">
        <f t="shared" si="1"/>
        <v>1</v>
      </c>
    </row>
    <row r="42" spans="1:11" x14ac:dyDescent="0.3">
      <c r="A42">
        <v>329</v>
      </c>
      <c r="B42" t="s">
        <v>49</v>
      </c>
      <c r="C42" t="s">
        <v>8</v>
      </c>
      <c r="D42" t="s">
        <v>9</v>
      </c>
      <c r="E42">
        <v>0.98730552199999999</v>
      </c>
      <c r="F42">
        <v>1.2694469E-2</v>
      </c>
      <c r="G42">
        <v>0.98730552199999999</v>
      </c>
      <c r="H42" t="b">
        <v>1</v>
      </c>
      <c r="I42" t="b">
        <v>1</v>
      </c>
      <c r="J42" t="b">
        <f t="shared" si="0"/>
        <v>1</v>
      </c>
      <c r="K42" t="b">
        <f t="shared" si="1"/>
        <v>0</v>
      </c>
    </row>
    <row r="43" spans="1:11" x14ac:dyDescent="0.3">
      <c r="A43">
        <v>5716</v>
      </c>
      <c r="B43" t="s">
        <v>50</v>
      </c>
      <c r="C43" t="s">
        <v>8</v>
      </c>
      <c r="D43" t="s">
        <v>9</v>
      </c>
      <c r="E43">
        <v>0.98723036099999995</v>
      </c>
      <c r="F43">
        <v>1.2769584E-2</v>
      </c>
      <c r="G43">
        <v>0.98723036099999995</v>
      </c>
      <c r="H43" t="b">
        <v>1</v>
      </c>
      <c r="I43" t="b">
        <v>1</v>
      </c>
      <c r="J43" t="b">
        <f t="shared" si="0"/>
        <v>1</v>
      </c>
      <c r="K43" t="b">
        <f t="shared" si="1"/>
        <v>0</v>
      </c>
    </row>
    <row r="44" spans="1:11" x14ac:dyDescent="0.3">
      <c r="A44">
        <v>9507</v>
      </c>
      <c r="B44" t="s">
        <v>51</v>
      </c>
      <c r="C44" t="s">
        <v>8</v>
      </c>
      <c r="D44" t="s">
        <v>9</v>
      </c>
      <c r="E44">
        <v>0.98718422699999997</v>
      </c>
      <c r="F44">
        <v>1.2815797E-2</v>
      </c>
      <c r="G44">
        <v>0.98718422699999997</v>
      </c>
      <c r="H44" t="b">
        <v>1</v>
      </c>
      <c r="I44" t="b">
        <v>1</v>
      </c>
      <c r="J44" t="b">
        <f t="shared" si="0"/>
        <v>1</v>
      </c>
      <c r="K44" t="b">
        <f t="shared" si="1"/>
        <v>0</v>
      </c>
    </row>
    <row r="45" spans="1:11" x14ac:dyDescent="0.3">
      <c r="A45">
        <v>8434</v>
      </c>
      <c r="B45" t="s">
        <v>52</v>
      </c>
      <c r="C45" t="s">
        <v>8</v>
      </c>
      <c r="D45" t="s">
        <v>9</v>
      </c>
      <c r="E45">
        <v>0.98711037599999996</v>
      </c>
      <c r="F45">
        <v>1.2889665999999999E-2</v>
      </c>
      <c r="G45">
        <v>0.98711037599999996</v>
      </c>
      <c r="H45" t="b">
        <v>1</v>
      </c>
      <c r="I45" t="b">
        <v>1</v>
      </c>
      <c r="J45" t="b">
        <f t="shared" si="0"/>
        <v>1</v>
      </c>
      <c r="K45" t="b">
        <f t="shared" si="1"/>
        <v>0</v>
      </c>
    </row>
    <row r="46" spans="1:11" x14ac:dyDescent="0.3">
      <c r="A46">
        <v>1694</v>
      </c>
      <c r="B46" t="s">
        <v>53</v>
      </c>
      <c r="C46" t="s">
        <v>8</v>
      </c>
      <c r="D46" t="s">
        <v>9</v>
      </c>
      <c r="E46">
        <v>0.98704314199999998</v>
      </c>
      <c r="F46">
        <v>1.2956871999999999E-2</v>
      </c>
      <c r="G46">
        <v>0.98704314199999998</v>
      </c>
      <c r="H46" t="b">
        <v>1</v>
      </c>
      <c r="I46" t="b">
        <v>1</v>
      </c>
      <c r="J46" t="b">
        <f t="shared" si="0"/>
        <v>1</v>
      </c>
      <c r="K46" t="b">
        <f t="shared" si="1"/>
        <v>0</v>
      </c>
    </row>
    <row r="47" spans="1:11" x14ac:dyDescent="0.3">
      <c r="A47">
        <v>834</v>
      </c>
      <c r="B47" t="s">
        <v>54</v>
      </c>
      <c r="C47" t="s">
        <v>8</v>
      </c>
      <c r="D47" t="s">
        <v>9</v>
      </c>
      <c r="E47">
        <v>0.98675739799999995</v>
      </c>
      <c r="F47">
        <v>1.3242609000000001E-2</v>
      </c>
      <c r="G47">
        <v>0.98675739799999995</v>
      </c>
      <c r="H47" t="b">
        <v>1</v>
      </c>
      <c r="I47" t="b">
        <v>1</v>
      </c>
      <c r="J47" t="b">
        <f t="shared" si="0"/>
        <v>1</v>
      </c>
      <c r="K47" t="b">
        <f t="shared" si="1"/>
        <v>0</v>
      </c>
    </row>
    <row r="48" spans="1:11" x14ac:dyDescent="0.3">
      <c r="A48">
        <v>8971</v>
      </c>
      <c r="B48" t="s">
        <v>55</v>
      </c>
      <c r="C48" t="s">
        <v>8</v>
      </c>
      <c r="D48" t="s">
        <v>9</v>
      </c>
      <c r="E48">
        <v>0.98673349600000004</v>
      </c>
      <c r="F48">
        <v>1.3266508E-2</v>
      </c>
      <c r="G48">
        <v>0.98673349600000004</v>
      </c>
      <c r="H48" t="b">
        <v>1</v>
      </c>
      <c r="I48" t="b">
        <v>1</v>
      </c>
      <c r="J48" t="b">
        <f t="shared" si="0"/>
        <v>1</v>
      </c>
      <c r="K48" t="b">
        <f t="shared" si="1"/>
        <v>0</v>
      </c>
    </row>
    <row r="49" spans="1:11" x14ac:dyDescent="0.3">
      <c r="A49">
        <v>10466</v>
      </c>
      <c r="B49" t="s">
        <v>56</v>
      </c>
      <c r="C49" t="s">
        <v>8</v>
      </c>
      <c r="D49" t="s">
        <v>9</v>
      </c>
      <c r="E49">
        <v>0.98672532999999996</v>
      </c>
      <c r="F49">
        <v>1.3274638E-2</v>
      </c>
      <c r="G49">
        <v>0.98672532999999996</v>
      </c>
      <c r="H49" t="b">
        <v>1</v>
      </c>
      <c r="I49" t="b">
        <v>0</v>
      </c>
      <c r="J49" t="b">
        <f t="shared" si="0"/>
        <v>0</v>
      </c>
      <c r="K49" t="b">
        <f t="shared" si="1"/>
        <v>1</v>
      </c>
    </row>
    <row r="50" spans="1:11" x14ac:dyDescent="0.3">
      <c r="A50">
        <v>4598</v>
      </c>
      <c r="B50" t="s">
        <v>57</v>
      </c>
      <c r="C50" t="s">
        <v>8</v>
      </c>
      <c r="D50" t="s">
        <v>9</v>
      </c>
      <c r="E50">
        <v>0.98664850000000004</v>
      </c>
      <c r="F50">
        <v>1.3351485E-2</v>
      </c>
      <c r="G50">
        <v>0.98664850000000004</v>
      </c>
      <c r="H50" t="b">
        <v>1</v>
      </c>
      <c r="I50" t="b">
        <v>1</v>
      </c>
      <c r="J50" t="b">
        <f t="shared" si="0"/>
        <v>1</v>
      </c>
      <c r="K50" t="b">
        <f t="shared" si="1"/>
        <v>0</v>
      </c>
    </row>
    <row r="51" spans="1:11" x14ac:dyDescent="0.3">
      <c r="A51">
        <v>5206</v>
      </c>
      <c r="B51" t="s">
        <v>58</v>
      </c>
      <c r="C51" t="s">
        <v>8</v>
      </c>
      <c r="D51" t="s">
        <v>9</v>
      </c>
      <c r="E51">
        <v>0.986575961</v>
      </c>
      <c r="F51">
        <v>1.3424056E-2</v>
      </c>
      <c r="G51">
        <v>0.986575961</v>
      </c>
      <c r="H51" t="b">
        <v>1</v>
      </c>
      <c r="I51" t="b">
        <v>1</v>
      </c>
      <c r="J51" t="b">
        <f t="shared" si="0"/>
        <v>1</v>
      </c>
      <c r="K51" t="b">
        <f t="shared" si="1"/>
        <v>0</v>
      </c>
    </row>
    <row r="52" spans="1:11" x14ac:dyDescent="0.3">
      <c r="A52">
        <v>2468</v>
      </c>
      <c r="B52" t="s">
        <v>59</v>
      </c>
      <c r="C52" t="s">
        <v>8</v>
      </c>
      <c r="D52" t="s">
        <v>9</v>
      </c>
      <c r="E52">
        <v>0.986509144</v>
      </c>
      <c r="F52">
        <v>1.3490811E-2</v>
      </c>
      <c r="G52">
        <v>0.986509144</v>
      </c>
      <c r="H52" t="b">
        <v>1</v>
      </c>
      <c r="I52" t="b">
        <v>1</v>
      </c>
      <c r="J52" t="b">
        <f t="shared" si="0"/>
        <v>1</v>
      </c>
      <c r="K52" t="b">
        <f t="shared" si="1"/>
        <v>0</v>
      </c>
    </row>
    <row r="53" spans="1:11" x14ac:dyDescent="0.3">
      <c r="A53">
        <v>255</v>
      </c>
      <c r="B53" t="s">
        <v>60</v>
      </c>
      <c r="C53" t="s">
        <v>8</v>
      </c>
      <c r="D53" t="s">
        <v>9</v>
      </c>
      <c r="E53">
        <v>0.98642635300000003</v>
      </c>
      <c r="F53">
        <v>1.3573623E-2</v>
      </c>
      <c r="G53">
        <v>0.98642635300000003</v>
      </c>
      <c r="H53" t="b">
        <v>1</v>
      </c>
      <c r="I53" t="b">
        <v>1</v>
      </c>
      <c r="J53" t="b">
        <f t="shared" si="0"/>
        <v>1</v>
      </c>
      <c r="K53" t="b">
        <f t="shared" si="1"/>
        <v>0</v>
      </c>
    </row>
    <row r="54" spans="1:11" x14ac:dyDescent="0.3">
      <c r="A54">
        <v>1077</v>
      </c>
      <c r="B54" t="s">
        <v>61</v>
      </c>
      <c r="C54" t="s">
        <v>8</v>
      </c>
      <c r="D54" t="s">
        <v>9</v>
      </c>
      <c r="E54">
        <v>0.98633235699999999</v>
      </c>
      <c r="F54">
        <v>1.3667664E-2</v>
      </c>
      <c r="G54">
        <v>0.98633235699999999</v>
      </c>
      <c r="H54" t="b">
        <v>1</v>
      </c>
      <c r="I54" t="b">
        <v>1</v>
      </c>
      <c r="J54" t="b">
        <f t="shared" si="0"/>
        <v>1</v>
      </c>
      <c r="K54" t="b">
        <f t="shared" si="1"/>
        <v>0</v>
      </c>
    </row>
    <row r="55" spans="1:11" x14ac:dyDescent="0.3">
      <c r="A55">
        <v>9269</v>
      </c>
      <c r="B55" t="s">
        <v>62</v>
      </c>
      <c r="C55" t="s">
        <v>8</v>
      </c>
      <c r="D55" t="s">
        <v>9</v>
      </c>
      <c r="E55">
        <v>0.98626440800000004</v>
      </c>
      <c r="F55">
        <v>1.3735569E-2</v>
      </c>
      <c r="G55">
        <v>0.98626440800000004</v>
      </c>
      <c r="H55" t="b">
        <v>1</v>
      </c>
      <c r="I55" t="b">
        <v>1</v>
      </c>
      <c r="J55" t="b">
        <f t="shared" si="0"/>
        <v>1</v>
      </c>
      <c r="K55" t="b">
        <f t="shared" si="1"/>
        <v>0</v>
      </c>
    </row>
    <row r="56" spans="1:11" x14ac:dyDescent="0.3">
      <c r="A56">
        <v>1490</v>
      </c>
      <c r="B56" t="s">
        <v>63</v>
      </c>
      <c r="C56" t="s">
        <v>8</v>
      </c>
      <c r="D56" t="s">
        <v>9</v>
      </c>
      <c r="E56">
        <v>0.98612469400000002</v>
      </c>
      <c r="F56">
        <v>1.3875322000000001E-2</v>
      </c>
      <c r="G56">
        <v>0.98612469400000002</v>
      </c>
      <c r="H56" t="b">
        <v>1</v>
      </c>
      <c r="I56" t="b">
        <v>1</v>
      </c>
      <c r="J56" t="b">
        <f t="shared" si="0"/>
        <v>1</v>
      </c>
      <c r="K56" t="b">
        <f t="shared" si="1"/>
        <v>0</v>
      </c>
    </row>
    <row r="57" spans="1:11" x14ac:dyDescent="0.3">
      <c r="A57">
        <v>4452</v>
      </c>
      <c r="B57" t="s">
        <v>64</v>
      </c>
      <c r="C57" t="s">
        <v>8</v>
      </c>
      <c r="D57" t="s">
        <v>9</v>
      </c>
      <c r="E57">
        <v>0.98600941900000005</v>
      </c>
      <c r="F57">
        <v>1.3990643000000001E-2</v>
      </c>
      <c r="G57">
        <v>0.98600941900000005</v>
      </c>
      <c r="H57" t="b">
        <v>1</v>
      </c>
      <c r="I57" t="b">
        <v>1</v>
      </c>
      <c r="J57" t="b">
        <f t="shared" si="0"/>
        <v>1</v>
      </c>
      <c r="K57" t="b">
        <f t="shared" si="1"/>
        <v>0</v>
      </c>
    </row>
    <row r="58" spans="1:11" x14ac:dyDescent="0.3">
      <c r="A58">
        <v>6518</v>
      </c>
      <c r="B58" t="s">
        <v>65</v>
      </c>
      <c r="C58" t="s">
        <v>8</v>
      </c>
      <c r="D58" t="s">
        <v>9</v>
      </c>
      <c r="E58">
        <v>0.98580986299999995</v>
      </c>
      <c r="F58">
        <v>1.4190124E-2</v>
      </c>
      <c r="G58">
        <v>0.98580986299999995</v>
      </c>
      <c r="H58" t="b">
        <v>0</v>
      </c>
      <c r="I58" t="b">
        <v>0</v>
      </c>
      <c r="J58" t="b">
        <f t="shared" si="0"/>
        <v>0</v>
      </c>
      <c r="K58" t="b">
        <f t="shared" si="1"/>
        <v>0</v>
      </c>
    </row>
    <row r="59" spans="1:11" x14ac:dyDescent="0.3">
      <c r="A59">
        <v>996</v>
      </c>
      <c r="B59" t="s">
        <v>66</v>
      </c>
      <c r="C59" t="s">
        <v>8</v>
      </c>
      <c r="D59" t="s">
        <v>9</v>
      </c>
      <c r="E59">
        <v>0.98580509400000005</v>
      </c>
      <c r="F59">
        <v>1.4194889E-2</v>
      </c>
      <c r="G59">
        <v>0.98580509400000005</v>
      </c>
      <c r="H59" t="b">
        <v>1</v>
      </c>
      <c r="I59" t="b">
        <v>1</v>
      </c>
      <c r="J59" t="b">
        <f t="shared" si="0"/>
        <v>1</v>
      </c>
      <c r="K59" t="b">
        <f t="shared" si="1"/>
        <v>0</v>
      </c>
    </row>
    <row r="60" spans="1:11" x14ac:dyDescent="0.3">
      <c r="A60">
        <v>1703</v>
      </c>
      <c r="B60" t="s">
        <v>67</v>
      </c>
      <c r="C60" t="s">
        <v>8</v>
      </c>
      <c r="D60" t="s">
        <v>9</v>
      </c>
      <c r="E60">
        <v>0.98576837799999995</v>
      </c>
      <c r="F60">
        <v>1.4231641999999999E-2</v>
      </c>
      <c r="G60">
        <v>0.98576837799999995</v>
      </c>
      <c r="H60" t="b">
        <v>1</v>
      </c>
      <c r="I60" t="b">
        <v>1</v>
      </c>
      <c r="J60" t="b">
        <f t="shared" si="0"/>
        <v>1</v>
      </c>
      <c r="K60" t="b">
        <f t="shared" si="1"/>
        <v>0</v>
      </c>
    </row>
    <row r="61" spans="1:11" x14ac:dyDescent="0.3">
      <c r="A61">
        <v>5803</v>
      </c>
      <c r="B61" t="s">
        <v>68</v>
      </c>
      <c r="C61" t="s">
        <v>8</v>
      </c>
      <c r="D61" t="s">
        <v>9</v>
      </c>
      <c r="E61">
        <v>0.98572379399999999</v>
      </c>
      <c r="F61">
        <v>1.4276271E-2</v>
      </c>
      <c r="G61">
        <v>0.98572379399999999</v>
      </c>
      <c r="H61" t="b">
        <v>1</v>
      </c>
      <c r="I61" t="b">
        <v>0</v>
      </c>
      <c r="J61" t="b">
        <f t="shared" si="0"/>
        <v>0</v>
      </c>
      <c r="K61" t="b">
        <f t="shared" si="1"/>
        <v>1</v>
      </c>
    </row>
    <row r="62" spans="1:11" x14ac:dyDescent="0.3">
      <c r="A62">
        <v>603</v>
      </c>
      <c r="B62" t="s">
        <v>69</v>
      </c>
      <c r="C62" t="s">
        <v>8</v>
      </c>
      <c r="D62" t="s">
        <v>9</v>
      </c>
      <c r="E62">
        <v>0.98570036900000002</v>
      </c>
      <c r="F62">
        <v>1.4299605999999999E-2</v>
      </c>
      <c r="G62">
        <v>0.98570036900000002</v>
      </c>
      <c r="H62" t="b">
        <v>1</v>
      </c>
      <c r="I62" t="b">
        <v>1</v>
      </c>
      <c r="J62" t="b">
        <f t="shared" si="0"/>
        <v>1</v>
      </c>
      <c r="K62" t="b">
        <f t="shared" si="1"/>
        <v>0</v>
      </c>
    </row>
    <row r="63" spans="1:11" x14ac:dyDescent="0.3">
      <c r="A63">
        <v>6933</v>
      </c>
      <c r="B63" t="s">
        <v>70</v>
      </c>
      <c r="C63" t="s">
        <v>8</v>
      </c>
      <c r="D63" t="s">
        <v>9</v>
      </c>
      <c r="E63">
        <v>0.98555296699999995</v>
      </c>
      <c r="F63">
        <v>1.4446983E-2</v>
      </c>
      <c r="G63">
        <v>0.98555296699999995</v>
      </c>
      <c r="H63" t="b">
        <v>1</v>
      </c>
      <c r="I63" t="b">
        <v>1</v>
      </c>
      <c r="J63" t="b">
        <f t="shared" si="0"/>
        <v>1</v>
      </c>
      <c r="K63" t="b">
        <f t="shared" si="1"/>
        <v>0</v>
      </c>
    </row>
    <row r="64" spans="1:11" x14ac:dyDescent="0.3">
      <c r="A64">
        <v>6563</v>
      </c>
      <c r="B64" t="s">
        <v>71</v>
      </c>
      <c r="C64" t="s">
        <v>8</v>
      </c>
      <c r="D64" t="s">
        <v>9</v>
      </c>
      <c r="E64">
        <v>0.98510461999999999</v>
      </c>
      <c r="F64">
        <v>1.4895389E-2</v>
      </c>
      <c r="G64">
        <v>0.98510461999999999</v>
      </c>
      <c r="H64" t="b">
        <v>1</v>
      </c>
      <c r="I64" t="b">
        <v>0</v>
      </c>
      <c r="J64" t="b">
        <f t="shared" si="0"/>
        <v>0</v>
      </c>
      <c r="K64" t="b">
        <f t="shared" si="1"/>
        <v>1</v>
      </c>
    </row>
    <row r="65" spans="1:11" x14ac:dyDescent="0.3">
      <c r="A65">
        <v>8278</v>
      </c>
      <c r="B65" t="s">
        <v>72</v>
      </c>
      <c r="C65" t="s">
        <v>8</v>
      </c>
      <c r="D65" t="s">
        <v>9</v>
      </c>
      <c r="E65">
        <v>0.98509222299999999</v>
      </c>
      <c r="F65">
        <v>1.4907792E-2</v>
      </c>
      <c r="G65">
        <v>0.98509222299999999</v>
      </c>
      <c r="H65" t="b">
        <v>1</v>
      </c>
      <c r="I65" t="b">
        <v>1</v>
      </c>
      <c r="J65" t="b">
        <f t="shared" si="0"/>
        <v>1</v>
      </c>
      <c r="K65" t="b">
        <f t="shared" si="1"/>
        <v>0</v>
      </c>
    </row>
    <row r="66" spans="1:11" x14ac:dyDescent="0.3">
      <c r="A66">
        <v>6866</v>
      </c>
      <c r="B66" t="s">
        <v>73</v>
      </c>
      <c r="C66" t="s">
        <v>8</v>
      </c>
      <c r="D66" t="s">
        <v>9</v>
      </c>
      <c r="E66">
        <v>0.984957576</v>
      </c>
      <c r="F66">
        <v>1.5042425E-2</v>
      </c>
      <c r="G66">
        <v>0.984957576</v>
      </c>
      <c r="H66" t="b">
        <v>1</v>
      </c>
      <c r="I66" t="b">
        <v>1</v>
      </c>
      <c r="J66" t="b">
        <f t="shared" si="0"/>
        <v>1</v>
      </c>
      <c r="K66" t="b">
        <f t="shared" si="1"/>
        <v>0</v>
      </c>
    </row>
    <row r="67" spans="1:11" x14ac:dyDescent="0.3">
      <c r="A67">
        <v>4265</v>
      </c>
      <c r="B67" t="s">
        <v>74</v>
      </c>
      <c r="C67" t="s">
        <v>8</v>
      </c>
      <c r="D67" t="s">
        <v>9</v>
      </c>
      <c r="E67">
        <v>0.98485559199999995</v>
      </c>
      <c r="F67">
        <v>1.5144434999999999E-2</v>
      </c>
      <c r="G67">
        <v>0.98485559199999995</v>
      </c>
      <c r="H67" t="b">
        <v>1</v>
      </c>
      <c r="I67" t="b">
        <v>1</v>
      </c>
      <c r="J67" t="b">
        <f t="shared" ref="J67:J130" si="2">AND(H67:I67)</f>
        <v>1</v>
      </c>
      <c r="K67" t="b">
        <f t="shared" ref="K67:K130" si="3">NOT(H67=I67)</f>
        <v>0</v>
      </c>
    </row>
    <row r="68" spans="1:11" x14ac:dyDescent="0.3">
      <c r="A68">
        <v>7309</v>
      </c>
      <c r="B68" t="s">
        <v>75</v>
      </c>
      <c r="C68" t="s">
        <v>8</v>
      </c>
      <c r="D68" t="s">
        <v>9</v>
      </c>
      <c r="E68">
        <v>0.98483419400000005</v>
      </c>
      <c r="F68">
        <v>1.5165779000000001E-2</v>
      </c>
      <c r="G68">
        <v>0.98483419400000005</v>
      </c>
      <c r="H68" t="b">
        <v>0</v>
      </c>
      <c r="I68" t="b">
        <v>1</v>
      </c>
      <c r="J68" t="b">
        <f t="shared" si="2"/>
        <v>0</v>
      </c>
      <c r="K68" t="b">
        <f t="shared" si="3"/>
        <v>1</v>
      </c>
    </row>
    <row r="69" spans="1:11" x14ac:dyDescent="0.3">
      <c r="A69">
        <v>1835</v>
      </c>
      <c r="B69" t="s">
        <v>76</v>
      </c>
      <c r="C69" t="s">
        <v>8</v>
      </c>
      <c r="D69" t="s">
        <v>9</v>
      </c>
      <c r="E69">
        <v>0.98480462999999996</v>
      </c>
      <c r="F69">
        <v>1.5195442E-2</v>
      </c>
      <c r="G69">
        <v>0.98480462999999996</v>
      </c>
      <c r="H69" t="b">
        <v>1</v>
      </c>
      <c r="I69" t="b">
        <v>1</v>
      </c>
      <c r="J69" t="b">
        <f t="shared" si="2"/>
        <v>1</v>
      </c>
      <c r="K69" t="b">
        <f t="shared" si="3"/>
        <v>0</v>
      </c>
    </row>
    <row r="70" spans="1:11" x14ac:dyDescent="0.3">
      <c r="A70">
        <v>5764</v>
      </c>
      <c r="B70" t="s">
        <v>77</v>
      </c>
      <c r="C70" t="s">
        <v>8</v>
      </c>
      <c r="D70" t="s">
        <v>9</v>
      </c>
      <c r="E70">
        <v>0.98478633199999999</v>
      </c>
      <c r="F70">
        <v>1.5213677E-2</v>
      </c>
      <c r="G70">
        <v>0.98478633199999999</v>
      </c>
      <c r="H70" t="b">
        <v>1</v>
      </c>
      <c r="I70" t="b">
        <v>1</v>
      </c>
      <c r="J70" t="b">
        <f t="shared" si="2"/>
        <v>1</v>
      </c>
      <c r="K70" t="b">
        <f t="shared" si="3"/>
        <v>0</v>
      </c>
    </row>
    <row r="71" spans="1:11" x14ac:dyDescent="0.3">
      <c r="A71">
        <v>1798</v>
      </c>
      <c r="B71" t="s">
        <v>78</v>
      </c>
      <c r="C71" t="s">
        <v>8</v>
      </c>
      <c r="D71" t="s">
        <v>9</v>
      </c>
      <c r="E71">
        <v>0.98453575400000004</v>
      </c>
      <c r="F71">
        <v>1.5464266000000001E-2</v>
      </c>
      <c r="G71">
        <v>0.98453575400000004</v>
      </c>
      <c r="H71" t="b">
        <v>1</v>
      </c>
      <c r="I71" t="b">
        <v>1</v>
      </c>
      <c r="J71" t="b">
        <f t="shared" si="2"/>
        <v>1</v>
      </c>
      <c r="K71" t="b">
        <f t="shared" si="3"/>
        <v>0</v>
      </c>
    </row>
    <row r="72" spans="1:11" x14ac:dyDescent="0.3">
      <c r="A72">
        <v>6343</v>
      </c>
      <c r="B72" t="s">
        <v>79</v>
      </c>
      <c r="C72" t="s">
        <v>8</v>
      </c>
      <c r="D72" t="s">
        <v>9</v>
      </c>
      <c r="E72">
        <v>0.98450249400000001</v>
      </c>
      <c r="F72">
        <v>1.5497499E-2</v>
      </c>
      <c r="G72">
        <v>0.98450249400000001</v>
      </c>
      <c r="H72" t="b">
        <v>1</v>
      </c>
      <c r="I72" t="b">
        <v>1</v>
      </c>
      <c r="J72" t="b">
        <f t="shared" si="2"/>
        <v>1</v>
      </c>
      <c r="K72" t="b">
        <f t="shared" si="3"/>
        <v>0</v>
      </c>
    </row>
    <row r="73" spans="1:11" x14ac:dyDescent="0.3">
      <c r="A73">
        <v>5721</v>
      </c>
      <c r="B73" t="s">
        <v>80</v>
      </c>
      <c r="C73" t="s">
        <v>8</v>
      </c>
      <c r="D73" t="s">
        <v>9</v>
      </c>
      <c r="E73">
        <v>0.98385566499999999</v>
      </c>
      <c r="F73">
        <v>1.6144334999999999E-2</v>
      </c>
      <c r="G73">
        <v>0.98385566499999999</v>
      </c>
      <c r="H73" t="b">
        <v>1</v>
      </c>
      <c r="I73" t="b">
        <v>1</v>
      </c>
      <c r="J73" t="b">
        <f t="shared" si="2"/>
        <v>1</v>
      </c>
      <c r="K73" t="b">
        <f t="shared" si="3"/>
        <v>0</v>
      </c>
    </row>
    <row r="74" spans="1:11" x14ac:dyDescent="0.3">
      <c r="A74">
        <v>4684</v>
      </c>
      <c r="B74" t="s">
        <v>81</v>
      </c>
      <c r="C74" t="s">
        <v>8</v>
      </c>
      <c r="D74" t="s">
        <v>9</v>
      </c>
      <c r="E74">
        <v>0.983804762</v>
      </c>
      <c r="F74">
        <v>1.6195204000000001E-2</v>
      </c>
      <c r="G74">
        <v>0.983804762</v>
      </c>
      <c r="H74" t="b">
        <v>1</v>
      </c>
      <c r="I74" t="b">
        <v>1</v>
      </c>
      <c r="J74" t="b">
        <f t="shared" si="2"/>
        <v>1</v>
      </c>
      <c r="K74" t="b">
        <f t="shared" si="3"/>
        <v>0</v>
      </c>
    </row>
    <row r="75" spans="1:11" x14ac:dyDescent="0.3">
      <c r="A75">
        <v>9087</v>
      </c>
      <c r="B75" t="s">
        <v>82</v>
      </c>
      <c r="C75" t="s">
        <v>8</v>
      </c>
      <c r="D75" t="s">
        <v>9</v>
      </c>
      <c r="E75">
        <v>0.98360186800000005</v>
      </c>
      <c r="F75">
        <v>1.6398195000000001E-2</v>
      </c>
      <c r="G75">
        <v>0.98360186800000005</v>
      </c>
      <c r="H75" t="b">
        <v>1</v>
      </c>
      <c r="I75" t="b">
        <v>1</v>
      </c>
      <c r="J75" t="b">
        <f t="shared" si="2"/>
        <v>1</v>
      </c>
      <c r="K75" t="b">
        <f t="shared" si="3"/>
        <v>0</v>
      </c>
    </row>
    <row r="76" spans="1:11" x14ac:dyDescent="0.3">
      <c r="A76">
        <v>3353</v>
      </c>
      <c r="B76" t="s">
        <v>83</v>
      </c>
      <c r="C76" t="s">
        <v>8</v>
      </c>
      <c r="D76" t="s">
        <v>9</v>
      </c>
      <c r="E76">
        <v>0.98318547000000001</v>
      </c>
      <c r="F76">
        <v>1.6814553999999999E-2</v>
      </c>
      <c r="G76">
        <v>0.98318547000000001</v>
      </c>
      <c r="H76" t="b">
        <v>1</v>
      </c>
      <c r="I76" t="b">
        <v>1</v>
      </c>
      <c r="J76" t="b">
        <f t="shared" si="2"/>
        <v>1</v>
      </c>
      <c r="K76" t="b">
        <f t="shared" si="3"/>
        <v>0</v>
      </c>
    </row>
    <row r="77" spans="1:11" x14ac:dyDescent="0.3">
      <c r="A77">
        <v>3935</v>
      </c>
      <c r="B77" t="s">
        <v>84</v>
      </c>
      <c r="C77" t="s">
        <v>8</v>
      </c>
      <c r="D77" t="s">
        <v>9</v>
      </c>
      <c r="E77">
        <v>0.98213070599999996</v>
      </c>
      <c r="F77">
        <v>1.7869296999999999E-2</v>
      </c>
      <c r="G77">
        <v>0.98213070599999996</v>
      </c>
      <c r="H77" t="b">
        <v>1</v>
      </c>
      <c r="I77" t="b">
        <v>1</v>
      </c>
      <c r="J77" t="b">
        <f t="shared" si="2"/>
        <v>1</v>
      </c>
      <c r="K77" t="b">
        <f t="shared" si="3"/>
        <v>0</v>
      </c>
    </row>
    <row r="78" spans="1:11" x14ac:dyDescent="0.3">
      <c r="A78">
        <v>9589</v>
      </c>
      <c r="B78" t="s">
        <v>85</v>
      </c>
      <c r="C78" t="s">
        <v>8</v>
      </c>
      <c r="D78" t="s">
        <v>9</v>
      </c>
      <c r="E78">
        <v>0.98209482400000003</v>
      </c>
      <c r="F78">
        <v>1.7905217000000001E-2</v>
      </c>
      <c r="G78">
        <v>0.98209482400000003</v>
      </c>
      <c r="H78" t="b">
        <v>1</v>
      </c>
      <c r="I78" t="b">
        <v>1</v>
      </c>
      <c r="J78" t="b">
        <f t="shared" si="2"/>
        <v>1</v>
      </c>
      <c r="K78" t="b">
        <f t="shared" si="3"/>
        <v>0</v>
      </c>
    </row>
    <row r="79" spans="1:11" x14ac:dyDescent="0.3">
      <c r="A79">
        <v>6764</v>
      </c>
      <c r="B79" t="s">
        <v>86</v>
      </c>
      <c r="C79" t="s">
        <v>8</v>
      </c>
      <c r="D79" t="s">
        <v>9</v>
      </c>
      <c r="E79">
        <v>0.98187732699999997</v>
      </c>
      <c r="F79">
        <v>1.8122625E-2</v>
      </c>
      <c r="G79">
        <v>0.98187732699999997</v>
      </c>
      <c r="H79" t="b">
        <v>1</v>
      </c>
      <c r="I79" t="b">
        <v>0</v>
      </c>
      <c r="J79" t="b">
        <f t="shared" si="2"/>
        <v>0</v>
      </c>
      <c r="K79" t="b">
        <f t="shared" si="3"/>
        <v>1</v>
      </c>
    </row>
    <row r="80" spans="1:11" x14ac:dyDescent="0.3">
      <c r="A80">
        <v>5026</v>
      </c>
      <c r="B80" t="s">
        <v>87</v>
      </c>
      <c r="C80" t="s">
        <v>8</v>
      </c>
      <c r="D80" t="s">
        <v>9</v>
      </c>
      <c r="E80">
        <v>0.98186075699999997</v>
      </c>
      <c r="F80">
        <v>1.8139283999999999E-2</v>
      </c>
      <c r="G80">
        <v>0.98186075699999997</v>
      </c>
      <c r="H80" t="b">
        <v>1</v>
      </c>
      <c r="I80" t="b">
        <v>1</v>
      </c>
      <c r="J80" t="b">
        <f t="shared" si="2"/>
        <v>1</v>
      </c>
      <c r="K80" t="b">
        <f t="shared" si="3"/>
        <v>0</v>
      </c>
    </row>
    <row r="81" spans="1:11" x14ac:dyDescent="0.3">
      <c r="A81">
        <v>8309</v>
      </c>
      <c r="B81" t="s">
        <v>88</v>
      </c>
      <c r="C81" t="s">
        <v>8</v>
      </c>
      <c r="D81" t="s">
        <v>9</v>
      </c>
      <c r="E81">
        <v>0.98184192199999998</v>
      </c>
      <c r="F81">
        <v>1.815806E-2</v>
      </c>
      <c r="G81">
        <v>0.98184192199999998</v>
      </c>
      <c r="H81" t="b">
        <v>1</v>
      </c>
      <c r="I81" t="b">
        <v>1</v>
      </c>
      <c r="J81" t="b">
        <f t="shared" si="2"/>
        <v>1</v>
      </c>
      <c r="K81" t="b">
        <f t="shared" si="3"/>
        <v>0</v>
      </c>
    </row>
    <row r="82" spans="1:11" x14ac:dyDescent="0.3">
      <c r="A82">
        <v>5798</v>
      </c>
      <c r="B82" t="s">
        <v>89</v>
      </c>
      <c r="C82" t="s">
        <v>8</v>
      </c>
      <c r="D82" t="s">
        <v>9</v>
      </c>
      <c r="E82">
        <v>0.98157459499999999</v>
      </c>
      <c r="F82">
        <v>1.8425451999999998E-2</v>
      </c>
      <c r="G82">
        <v>0.98157459499999999</v>
      </c>
      <c r="H82" t="b">
        <v>1</v>
      </c>
      <c r="I82" t="b">
        <v>1</v>
      </c>
      <c r="J82" t="b">
        <f t="shared" si="2"/>
        <v>1</v>
      </c>
      <c r="K82" t="b">
        <f t="shared" si="3"/>
        <v>0</v>
      </c>
    </row>
    <row r="83" spans="1:11" x14ac:dyDescent="0.3">
      <c r="A83">
        <v>10212</v>
      </c>
      <c r="B83" t="s">
        <v>90</v>
      </c>
      <c r="C83" t="s">
        <v>8</v>
      </c>
      <c r="D83" t="s">
        <v>9</v>
      </c>
      <c r="E83">
        <v>0.98144459699999997</v>
      </c>
      <c r="F83">
        <v>1.8555366E-2</v>
      </c>
      <c r="G83">
        <v>0.98144459699999997</v>
      </c>
      <c r="H83" t="b">
        <v>1</v>
      </c>
      <c r="I83" t="b">
        <v>1</v>
      </c>
      <c r="J83" t="b">
        <f t="shared" si="2"/>
        <v>1</v>
      </c>
      <c r="K83" t="b">
        <f t="shared" si="3"/>
        <v>0</v>
      </c>
    </row>
    <row r="84" spans="1:11" x14ac:dyDescent="0.3">
      <c r="A84">
        <v>3044</v>
      </c>
      <c r="B84" t="s">
        <v>91</v>
      </c>
      <c r="C84" t="s">
        <v>8</v>
      </c>
      <c r="D84" t="s">
        <v>9</v>
      </c>
      <c r="E84">
        <v>0.98127824100000005</v>
      </c>
      <c r="F84">
        <v>1.8721781999999999E-2</v>
      </c>
      <c r="G84">
        <v>0.98127824100000005</v>
      </c>
      <c r="H84" t="b">
        <v>1</v>
      </c>
      <c r="I84" t="b">
        <v>1</v>
      </c>
      <c r="J84" t="b">
        <f t="shared" si="2"/>
        <v>1</v>
      </c>
      <c r="K84" t="b">
        <f t="shared" si="3"/>
        <v>0</v>
      </c>
    </row>
    <row r="85" spans="1:11" x14ac:dyDescent="0.3">
      <c r="A85">
        <v>4531</v>
      </c>
      <c r="B85" t="s">
        <v>92</v>
      </c>
      <c r="C85" t="s">
        <v>8</v>
      </c>
      <c r="D85" t="s">
        <v>9</v>
      </c>
      <c r="E85">
        <v>0.98122137799999998</v>
      </c>
      <c r="F85">
        <v>1.8778544000000001E-2</v>
      </c>
      <c r="G85">
        <v>0.98122137799999998</v>
      </c>
      <c r="H85" t="b">
        <v>1</v>
      </c>
      <c r="I85" t="b">
        <v>1</v>
      </c>
      <c r="J85" t="b">
        <f t="shared" si="2"/>
        <v>1</v>
      </c>
      <c r="K85" t="b">
        <f t="shared" si="3"/>
        <v>0</v>
      </c>
    </row>
    <row r="86" spans="1:11" x14ac:dyDescent="0.3">
      <c r="A86">
        <v>7613</v>
      </c>
      <c r="B86" t="s">
        <v>93</v>
      </c>
      <c r="C86" t="s">
        <v>8</v>
      </c>
      <c r="D86" t="s">
        <v>9</v>
      </c>
      <c r="E86">
        <v>0.98112213599999998</v>
      </c>
      <c r="F86">
        <v>1.8877892E-2</v>
      </c>
      <c r="G86">
        <v>0.98112213599999998</v>
      </c>
      <c r="H86" t="b">
        <v>1</v>
      </c>
      <c r="I86" t="b">
        <v>0</v>
      </c>
      <c r="J86" t="b">
        <f t="shared" si="2"/>
        <v>0</v>
      </c>
      <c r="K86" t="b">
        <f t="shared" si="3"/>
        <v>1</v>
      </c>
    </row>
    <row r="87" spans="1:11" x14ac:dyDescent="0.3">
      <c r="A87">
        <v>9888</v>
      </c>
      <c r="B87" t="s">
        <v>94</v>
      </c>
      <c r="C87" t="s">
        <v>8</v>
      </c>
      <c r="D87" t="s">
        <v>9</v>
      </c>
      <c r="E87">
        <v>0.98089408899999997</v>
      </c>
      <c r="F87">
        <v>1.9105896000000001E-2</v>
      </c>
      <c r="G87">
        <v>0.98089408899999997</v>
      </c>
      <c r="H87" t="b">
        <v>1</v>
      </c>
      <c r="I87" t="b">
        <v>1</v>
      </c>
      <c r="J87" t="b">
        <f t="shared" si="2"/>
        <v>1</v>
      </c>
      <c r="K87" t="b">
        <f t="shared" si="3"/>
        <v>0</v>
      </c>
    </row>
    <row r="88" spans="1:11" x14ac:dyDescent="0.3">
      <c r="A88">
        <v>3084</v>
      </c>
      <c r="B88" t="s">
        <v>95</v>
      </c>
      <c r="C88" t="s">
        <v>8</v>
      </c>
      <c r="D88" t="s">
        <v>9</v>
      </c>
      <c r="E88">
        <v>0.98055398500000002</v>
      </c>
      <c r="F88">
        <v>1.9445983999999999E-2</v>
      </c>
      <c r="G88">
        <v>0.98055398500000002</v>
      </c>
      <c r="H88" t="b">
        <v>1</v>
      </c>
      <c r="I88" t="b">
        <v>1</v>
      </c>
      <c r="J88" t="b">
        <f t="shared" si="2"/>
        <v>1</v>
      </c>
      <c r="K88" t="b">
        <f t="shared" si="3"/>
        <v>0</v>
      </c>
    </row>
    <row r="89" spans="1:11" x14ac:dyDescent="0.3">
      <c r="A89">
        <v>2089</v>
      </c>
      <c r="B89" t="s">
        <v>96</v>
      </c>
      <c r="C89" t="s">
        <v>8</v>
      </c>
      <c r="D89" t="s">
        <v>9</v>
      </c>
      <c r="E89">
        <v>0.98050403600000002</v>
      </c>
      <c r="F89">
        <v>1.9495993999999999E-2</v>
      </c>
      <c r="G89">
        <v>0.98050403600000002</v>
      </c>
      <c r="H89" t="b">
        <v>1</v>
      </c>
      <c r="I89" t="b">
        <v>1</v>
      </c>
      <c r="J89" t="b">
        <f t="shared" si="2"/>
        <v>1</v>
      </c>
      <c r="K89" t="b">
        <f t="shared" si="3"/>
        <v>0</v>
      </c>
    </row>
    <row r="90" spans="1:11" x14ac:dyDescent="0.3">
      <c r="A90">
        <v>2955</v>
      </c>
      <c r="B90" t="s">
        <v>97</v>
      </c>
      <c r="C90" t="s">
        <v>8</v>
      </c>
      <c r="D90" t="s">
        <v>9</v>
      </c>
      <c r="E90">
        <v>0.98034566599999995</v>
      </c>
      <c r="F90">
        <v>1.9654314999999999E-2</v>
      </c>
      <c r="G90">
        <v>0.98034566599999995</v>
      </c>
      <c r="H90" t="b">
        <v>0</v>
      </c>
      <c r="I90" t="b">
        <v>0</v>
      </c>
      <c r="J90" t="b">
        <f t="shared" si="2"/>
        <v>0</v>
      </c>
      <c r="K90" t="b">
        <f t="shared" si="3"/>
        <v>0</v>
      </c>
    </row>
    <row r="91" spans="1:11" x14ac:dyDescent="0.3">
      <c r="A91">
        <v>8217</v>
      </c>
      <c r="B91" t="s">
        <v>98</v>
      </c>
      <c r="C91" t="s">
        <v>8</v>
      </c>
      <c r="D91" t="s">
        <v>9</v>
      </c>
      <c r="E91">
        <v>0.980075896</v>
      </c>
      <c r="F91">
        <v>1.9924067E-2</v>
      </c>
      <c r="G91">
        <v>0.980075896</v>
      </c>
      <c r="H91" t="b">
        <v>1</v>
      </c>
      <c r="I91" t="b">
        <v>1</v>
      </c>
      <c r="J91" t="b">
        <f t="shared" si="2"/>
        <v>1</v>
      </c>
      <c r="K91" t="b">
        <f t="shared" si="3"/>
        <v>0</v>
      </c>
    </row>
    <row r="92" spans="1:11" x14ac:dyDescent="0.3">
      <c r="A92">
        <v>9424</v>
      </c>
      <c r="B92" t="s">
        <v>99</v>
      </c>
      <c r="C92" t="s">
        <v>8</v>
      </c>
      <c r="D92" t="s">
        <v>9</v>
      </c>
      <c r="E92">
        <v>0.98007303499999998</v>
      </c>
      <c r="F92">
        <v>1.9926988E-2</v>
      </c>
      <c r="G92">
        <v>0.98007303499999998</v>
      </c>
      <c r="H92" t="b">
        <v>1</v>
      </c>
      <c r="I92" t="b">
        <v>1</v>
      </c>
      <c r="J92" t="b">
        <f t="shared" si="2"/>
        <v>1</v>
      </c>
      <c r="K92" t="b">
        <f t="shared" si="3"/>
        <v>0</v>
      </c>
    </row>
    <row r="93" spans="1:11" x14ac:dyDescent="0.3">
      <c r="A93">
        <v>4305</v>
      </c>
      <c r="B93" t="s">
        <v>100</v>
      </c>
      <c r="C93" t="s">
        <v>8</v>
      </c>
      <c r="D93" t="s">
        <v>9</v>
      </c>
      <c r="E93">
        <v>0.97992366600000003</v>
      </c>
      <c r="F93">
        <v>2.0076348000000001E-2</v>
      </c>
      <c r="G93">
        <v>0.97992366600000003</v>
      </c>
      <c r="H93" t="b">
        <v>1</v>
      </c>
      <c r="I93" t="b">
        <v>1</v>
      </c>
      <c r="J93" t="b">
        <f t="shared" si="2"/>
        <v>1</v>
      </c>
      <c r="K93" t="b">
        <f t="shared" si="3"/>
        <v>0</v>
      </c>
    </row>
    <row r="94" spans="1:11" x14ac:dyDescent="0.3">
      <c r="A94">
        <v>7783</v>
      </c>
      <c r="B94" t="s">
        <v>101</v>
      </c>
      <c r="C94" t="s">
        <v>8</v>
      </c>
      <c r="D94" t="s">
        <v>9</v>
      </c>
      <c r="E94">
        <v>0.97989642600000004</v>
      </c>
      <c r="F94">
        <v>2.0103567999999999E-2</v>
      </c>
      <c r="G94">
        <v>0.97989642600000004</v>
      </c>
      <c r="H94" t="b">
        <v>0</v>
      </c>
      <c r="I94" t="b">
        <v>0</v>
      </c>
      <c r="J94" t="b">
        <f t="shared" si="2"/>
        <v>0</v>
      </c>
      <c r="K94" t="b">
        <f t="shared" si="3"/>
        <v>0</v>
      </c>
    </row>
    <row r="95" spans="1:11" x14ac:dyDescent="0.3">
      <c r="A95">
        <v>6913</v>
      </c>
      <c r="B95" t="s">
        <v>102</v>
      </c>
      <c r="C95" t="s">
        <v>8</v>
      </c>
      <c r="D95" t="s">
        <v>9</v>
      </c>
      <c r="E95">
        <v>0.979813457</v>
      </c>
      <c r="F95">
        <v>2.0186584E-2</v>
      </c>
      <c r="G95">
        <v>0.979813457</v>
      </c>
      <c r="H95" t="b">
        <v>0</v>
      </c>
      <c r="I95" t="b">
        <v>0</v>
      </c>
      <c r="J95" t="b">
        <f t="shared" si="2"/>
        <v>0</v>
      </c>
      <c r="K95" t="b">
        <f t="shared" si="3"/>
        <v>0</v>
      </c>
    </row>
    <row r="96" spans="1:11" x14ac:dyDescent="0.3">
      <c r="A96">
        <v>1963</v>
      </c>
      <c r="B96" t="s">
        <v>103</v>
      </c>
      <c r="C96" t="s">
        <v>8</v>
      </c>
      <c r="D96" t="s">
        <v>9</v>
      </c>
      <c r="E96">
        <v>0.97957968699999998</v>
      </c>
      <c r="F96">
        <v>2.0420377999999999E-2</v>
      </c>
      <c r="G96">
        <v>0.97957968699999998</v>
      </c>
      <c r="H96" t="b">
        <v>1</v>
      </c>
      <c r="I96" t="b">
        <v>1</v>
      </c>
      <c r="J96" t="b">
        <f t="shared" si="2"/>
        <v>1</v>
      </c>
      <c r="K96" t="b">
        <f t="shared" si="3"/>
        <v>0</v>
      </c>
    </row>
    <row r="97" spans="1:11" x14ac:dyDescent="0.3">
      <c r="A97">
        <v>9024</v>
      </c>
      <c r="B97" t="s">
        <v>104</v>
      </c>
      <c r="C97" t="s">
        <v>8</v>
      </c>
      <c r="D97" t="s">
        <v>9</v>
      </c>
      <c r="E97">
        <v>0.97948223400000001</v>
      </c>
      <c r="F97">
        <v>2.0517825999999999E-2</v>
      </c>
      <c r="G97">
        <v>0.97948223400000001</v>
      </c>
      <c r="H97" t="b">
        <v>0</v>
      </c>
      <c r="I97" t="b">
        <v>1</v>
      </c>
      <c r="J97" t="b">
        <f t="shared" si="2"/>
        <v>0</v>
      </c>
      <c r="K97" t="b">
        <f t="shared" si="3"/>
        <v>1</v>
      </c>
    </row>
    <row r="98" spans="1:11" x14ac:dyDescent="0.3">
      <c r="A98">
        <v>1093</v>
      </c>
      <c r="B98" t="s">
        <v>105</v>
      </c>
      <c r="C98" t="s">
        <v>8</v>
      </c>
      <c r="D98" t="s">
        <v>9</v>
      </c>
      <c r="E98">
        <v>0.979031384</v>
      </c>
      <c r="F98">
        <v>2.0968621999999999E-2</v>
      </c>
      <c r="G98">
        <v>0.979031384</v>
      </c>
      <c r="H98" t="b">
        <v>1</v>
      </c>
      <c r="I98" t="b">
        <v>0</v>
      </c>
      <c r="J98" t="b">
        <f t="shared" si="2"/>
        <v>0</v>
      </c>
      <c r="K98" t="b">
        <f t="shared" si="3"/>
        <v>1</v>
      </c>
    </row>
    <row r="99" spans="1:11" x14ac:dyDescent="0.3">
      <c r="A99">
        <v>5020</v>
      </c>
      <c r="B99" t="s">
        <v>106</v>
      </c>
      <c r="C99" t="s">
        <v>8</v>
      </c>
      <c r="D99" t="s">
        <v>9</v>
      </c>
      <c r="E99">
        <v>0.97878897200000003</v>
      </c>
      <c r="F99">
        <v>2.1211008999999999E-2</v>
      </c>
      <c r="G99">
        <v>0.97878897200000003</v>
      </c>
      <c r="H99" t="b">
        <v>1</v>
      </c>
      <c r="I99" t="b">
        <v>1</v>
      </c>
      <c r="J99" t="b">
        <f t="shared" si="2"/>
        <v>1</v>
      </c>
      <c r="K99" t="b">
        <f t="shared" si="3"/>
        <v>0</v>
      </c>
    </row>
    <row r="100" spans="1:11" x14ac:dyDescent="0.3">
      <c r="A100">
        <v>5010</v>
      </c>
      <c r="B100" t="s">
        <v>107</v>
      </c>
      <c r="C100" t="s">
        <v>8</v>
      </c>
      <c r="D100" t="s">
        <v>9</v>
      </c>
      <c r="E100">
        <v>0.97875320899999996</v>
      </c>
      <c r="F100">
        <v>2.1246785000000001E-2</v>
      </c>
      <c r="G100">
        <v>0.97875320899999996</v>
      </c>
      <c r="H100" t="b">
        <v>1</v>
      </c>
      <c r="I100" t="b">
        <v>0</v>
      </c>
      <c r="J100" t="b">
        <f t="shared" si="2"/>
        <v>0</v>
      </c>
      <c r="K100" t="b">
        <f t="shared" si="3"/>
        <v>1</v>
      </c>
    </row>
    <row r="101" spans="1:11" x14ac:dyDescent="0.3">
      <c r="A101">
        <v>4268</v>
      </c>
      <c r="B101" t="s">
        <v>108</v>
      </c>
      <c r="C101" t="s">
        <v>8</v>
      </c>
      <c r="D101" t="s">
        <v>9</v>
      </c>
      <c r="E101">
        <v>0.97839909800000002</v>
      </c>
      <c r="F101">
        <v>2.1600846E-2</v>
      </c>
      <c r="G101">
        <v>0.97839909800000002</v>
      </c>
      <c r="H101" t="b">
        <v>1</v>
      </c>
      <c r="I101" t="b">
        <v>1</v>
      </c>
      <c r="J101" t="b">
        <f t="shared" si="2"/>
        <v>1</v>
      </c>
      <c r="K101" t="b">
        <f t="shared" si="3"/>
        <v>0</v>
      </c>
    </row>
    <row r="102" spans="1:11" x14ac:dyDescent="0.3">
      <c r="A102">
        <v>5397</v>
      </c>
      <c r="B102" t="s">
        <v>109</v>
      </c>
      <c r="C102" t="s">
        <v>8</v>
      </c>
      <c r="D102" t="s">
        <v>9</v>
      </c>
      <c r="E102">
        <v>0.97816944100000003</v>
      </c>
      <c r="F102">
        <v>2.1830548000000002E-2</v>
      </c>
      <c r="G102">
        <v>0.97816944100000003</v>
      </c>
      <c r="H102" t="b">
        <v>1</v>
      </c>
      <c r="I102" t="b">
        <v>1</v>
      </c>
      <c r="J102" t="b">
        <f t="shared" si="2"/>
        <v>1</v>
      </c>
      <c r="K102" t="b">
        <f t="shared" si="3"/>
        <v>0</v>
      </c>
    </row>
    <row r="103" spans="1:11" x14ac:dyDescent="0.3">
      <c r="A103">
        <v>10422</v>
      </c>
      <c r="B103" t="s">
        <v>110</v>
      </c>
      <c r="C103" t="s">
        <v>8</v>
      </c>
      <c r="D103" t="s">
        <v>9</v>
      </c>
      <c r="E103">
        <v>0.97790920699999995</v>
      </c>
      <c r="F103">
        <v>2.2090795999999999E-2</v>
      </c>
      <c r="G103">
        <v>0.97790920699999995</v>
      </c>
      <c r="H103" t="b">
        <v>1</v>
      </c>
      <c r="I103" t="b">
        <v>0</v>
      </c>
      <c r="J103" t="b">
        <f t="shared" si="2"/>
        <v>0</v>
      </c>
      <c r="K103" t="b">
        <f t="shared" si="3"/>
        <v>1</v>
      </c>
    </row>
    <row r="104" spans="1:11" x14ac:dyDescent="0.3">
      <c r="A104">
        <v>2617</v>
      </c>
      <c r="B104" t="s">
        <v>111</v>
      </c>
      <c r="C104" t="s">
        <v>8</v>
      </c>
      <c r="D104" t="s">
        <v>9</v>
      </c>
      <c r="E104">
        <v>0.97787481499999995</v>
      </c>
      <c r="F104">
        <v>2.2125191999999998E-2</v>
      </c>
      <c r="G104">
        <v>0.97787481499999995</v>
      </c>
      <c r="H104" t="b">
        <v>0</v>
      </c>
      <c r="I104" t="b">
        <v>1</v>
      </c>
      <c r="J104" t="b">
        <f t="shared" si="2"/>
        <v>0</v>
      </c>
      <c r="K104" t="b">
        <f t="shared" si="3"/>
        <v>1</v>
      </c>
    </row>
    <row r="105" spans="1:11" x14ac:dyDescent="0.3">
      <c r="A105">
        <v>1365</v>
      </c>
      <c r="B105" t="s">
        <v>112</v>
      </c>
      <c r="C105" t="s">
        <v>8</v>
      </c>
      <c r="D105" t="s">
        <v>9</v>
      </c>
      <c r="E105">
        <v>0.97769480900000005</v>
      </c>
      <c r="F105">
        <v>2.2305155E-2</v>
      </c>
      <c r="G105">
        <v>0.97769480900000005</v>
      </c>
      <c r="H105" t="b">
        <v>1</v>
      </c>
      <c r="I105" t="b">
        <v>0</v>
      </c>
      <c r="J105" t="b">
        <f t="shared" si="2"/>
        <v>0</v>
      </c>
      <c r="K105" t="b">
        <f t="shared" si="3"/>
        <v>1</v>
      </c>
    </row>
    <row r="106" spans="1:11" x14ac:dyDescent="0.3">
      <c r="A106">
        <v>5654</v>
      </c>
      <c r="B106" t="s">
        <v>113</v>
      </c>
      <c r="C106" t="s">
        <v>8</v>
      </c>
      <c r="D106" t="s">
        <v>9</v>
      </c>
      <c r="E106">
        <v>0.97737771299999998</v>
      </c>
      <c r="F106">
        <v>2.2622282000000001E-2</v>
      </c>
      <c r="G106">
        <v>0.97737771299999998</v>
      </c>
      <c r="H106" t="b">
        <v>1</v>
      </c>
      <c r="I106" t="b">
        <v>1</v>
      </c>
      <c r="J106" t="b">
        <f t="shared" si="2"/>
        <v>1</v>
      </c>
      <c r="K106" t="b">
        <f t="shared" si="3"/>
        <v>0</v>
      </c>
    </row>
    <row r="107" spans="1:11" x14ac:dyDescent="0.3">
      <c r="A107">
        <v>3953</v>
      </c>
      <c r="B107" t="s">
        <v>114</v>
      </c>
      <c r="C107" t="s">
        <v>8</v>
      </c>
      <c r="D107" t="s">
        <v>9</v>
      </c>
      <c r="E107">
        <v>0.97730457800000003</v>
      </c>
      <c r="F107">
        <v>2.2695366000000002E-2</v>
      </c>
      <c r="G107">
        <v>0.97730457800000003</v>
      </c>
      <c r="H107" t="b">
        <v>1</v>
      </c>
      <c r="I107" t="b">
        <v>1</v>
      </c>
      <c r="J107" t="b">
        <f t="shared" si="2"/>
        <v>1</v>
      </c>
      <c r="K107" t="b">
        <f t="shared" si="3"/>
        <v>0</v>
      </c>
    </row>
    <row r="108" spans="1:11" x14ac:dyDescent="0.3">
      <c r="A108">
        <v>4400</v>
      </c>
      <c r="B108" t="s">
        <v>115</v>
      </c>
      <c r="C108" t="s">
        <v>8</v>
      </c>
      <c r="D108" t="s">
        <v>9</v>
      </c>
      <c r="E108">
        <v>0.97705054300000005</v>
      </c>
      <c r="F108">
        <v>2.2949425999999998E-2</v>
      </c>
      <c r="G108">
        <v>0.97705054300000005</v>
      </c>
      <c r="H108" t="b">
        <v>0</v>
      </c>
      <c r="I108" t="b">
        <v>1</v>
      </c>
      <c r="J108" t="b">
        <f t="shared" si="2"/>
        <v>0</v>
      </c>
      <c r="K108" t="b">
        <f t="shared" si="3"/>
        <v>1</v>
      </c>
    </row>
    <row r="109" spans="1:11" x14ac:dyDescent="0.3">
      <c r="A109">
        <v>332</v>
      </c>
      <c r="B109" t="s">
        <v>116</v>
      </c>
      <c r="C109" t="s">
        <v>8</v>
      </c>
      <c r="D109" t="s">
        <v>9</v>
      </c>
      <c r="E109">
        <v>0.97677534799999999</v>
      </c>
      <c r="F109">
        <v>2.3224703999999999E-2</v>
      </c>
      <c r="G109">
        <v>0.97677534799999999</v>
      </c>
      <c r="H109" t="b">
        <v>0</v>
      </c>
      <c r="I109" t="b">
        <v>1</v>
      </c>
      <c r="J109" t="b">
        <f t="shared" si="2"/>
        <v>0</v>
      </c>
      <c r="K109" t="b">
        <f t="shared" si="3"/>
        <v>1</v>
      </c>
    </row>
    <row r="110" spans="1:11" x14ac:dyDescent="0.3">
      <c r="A110">
        <v>9014</v>
      </c>
      <c r="B110" t="s">
        <v>117</v>
      </c>
      <c r="C110" t="s">
        <v>8</v>
      </c>
      <c r="D110" t="s">
        <v>9</v>
      </c>
      <c r="E110">
        <v>0.97672605499999998</v>
      </c>
      <c r="F110">
        <v>2.3273930000000002E-2</v>
      </c>
      <c r="G110">
        <v>0.97672605499999998</v>
      </c>
      <c r="H110" t="b">
        <v>1</v>
      </c>
      <c r="I110" t="b">
        <v>1</v>
      </c>
      <c r="J110" t="b">
        <f t="shared" si="2"/>
        <v>1</v>
      </c>
      <c r="K110" t="b">
        <f t="shared" si="3"/>
        <v>0</v>
      </c>
    </row>
    <row r="111" spans="1:11" x14ac:dyDescent="0.3">
      <c r="A111">
        <v>8859</v>
      </c>
      <c r="B111" t="s">
        <v>118</v>
      </c>
      <c r="C111" t="s">
        <v>8</v>
      </c>
      <c r="D111" t="s">
        <v>9</v>
      </c>
      <c r="E111">
        <v>0.97649753100000003</v>
      </c>
      <c r="F111">
        <v>2.3502465E-2</v>
      </c>
      <c r="G111">
        <v>0.97649753100000003</v>
      </c>
      <c r="H111" t="b">
        <v>1</v>
      </c>
      <c r="I111" t="b">
        <v>1</v>
      </c>
      <c r="J111" t="b">
        <f t="shared" si="2"/>
        <v>1</v>
      </c>
      <c r="K111" t="b">
        <f t="shared" si="3"/>
        <v>0</v>
      </c>
    </row>
    <row r="112" spans="1:11" x14ac:dyDescent="0.3">
      <c r="A112">
        <v>2301</v>
      </c>
      <c r="B112" t="s">
        <v>119</v>
      </c>
      <c r="C112" t="s">
        <v>8</v>
      </c>
      <c r="D112" t="s">
        <v>9</v>
      </c>
      <c r="E112">
        <v>0.97621720999999995</v>
      </c>
      <c r="F112">
        <v>2.3782853E-2</v>
      </c>
      <c r="G112">
        <v>0.97621720999999995</v>
      </c>
      <c r="H112" t="b">
        <v>1</v>
      </c>
      <c r="I112" t="b">
        <v>1</v>
      </c>
      <c r="J112" t="b">
        <f t="shared" si="2"/>
        <v>1</v>
      </c>
      <c r="K112" t="b">
        <f t="shared" si="3"/>
        <v>0</v>
      </c>
    </row>
    <row r="113" spans="1:11" x14ac:dyDescent="0.3">
      <c r="A113">
        <v>4663</v>
      </c>
      <c r="B113" t="s">
        <v>120</v>
      </c>
      <c r="C113" t="s">
        <v>8</v>
      </c>
      <c r="D113" t="s">
        <v>9</v>
      </c>
      <c r="E113">
        <v>0.97590261700000003</v>
      </c>
      <c r="F113">
        <v>2.4097428000000001E-2</v>
      </c>
      <c r="G113">
        <v>0.97590261700000003</v>
      </c>
      <c r="H113" t="b">
        <v>0</v>
      </c>
      <c r="I113" t="b">
        <v>1</v>
      </c>
      <c r="J113" t="b">
        <f t="shared" si="2"/>
        <v>0</v>
      </c>
      <c r="K113" t="b">
        <f t="shared" si="3"/>
        <v>1</v>
      </c>
    </row>
    <row r="114" spans="1:11" x14ac:dyDescent="0.3">
      <c r="A114">
        <v>1642</v>
      </c>
      <c r="B114" t="s">
        <v>121</v>
      </c>
      <c r="C114" t="s">
        <v>8</v>
      </c>
      <c r="D114" t="s">
        <v>9</v>
      </c>
      <c r="E114">
        <v>0.975832582</v>
      </c>
      <c r="F114">
        <v>2.4167398E-2</v>
      </c>
      <c r="G114">
        <v>0.975832582</v>
      </c>
      <c r="H114" t="b">
        <v>1</v>
      </c>
      <c r="I114" t="b">
        <v>1</v>
      </c>
      <c r="J114" t="b">
        <f t="shared" si="2"/>
        <v>1</v>
      </c>
      <c r="K114" t="b">
        <f t="shared" si="3"/>
        <v>0</v>
      </c>
    </row>
    <row r="115" spans="1:11" x14ac:dyDescent="0.3">
      <c r="A115">
        <v>9145</v>
      </c>
      <c r="B115" t="s">
        <v>122</v>
      </c>
      <c r="C115" t="s">
        <v>8</v>
      </c>
      <c r="D115" t="s">
        <v>9</v>
      </c>
      <c r="E115">
        <v>0.97572731999999995</v>
      </c>
      <c r="F115">
        <v>2.4272693000000001E-2</v>
      </c>
      <c r="G115">
        <v>0.97572731999999995</v>
      </c>
      <c r="H115" t="b">
        <v>1</v>
      </c>
      <c r="I115" t="b">
        <v>1</v>
      </c>
      <c r="J115" t="b">
        <f t="shared" si="2"/>
        <v>1</v>
      </c>
      <c r="K115" t="b">
        <f t="shared" si="3"/>
        <v>0</v>
      </c>
    </row>
    <row r="116" spans="1:11" x14ac:dyDescent="0.3">
      <c r="A116">
        <v>7382</v>
      </c>
      <c r="B116" t="s">
        <v>123</v>
      </c>
      <c r="C116" t="s">
        <v>8</v>
      </c>
      <c r="D116" t="s">
        <v>9</v>
      </c>
      <c r="E116">
        <v>0.97566562899999998</v>
      </c>
      <c r="F116">
        <v>2.4334413999999999E-2</v>
      </c>
      <c r="G116">
        <v>0.97566562899999998</v>
      </c>
      <c r="H116" t="b">
        <v>1</v>
      </c>
      <c r="I116" t="b">
        <v>0</v>
      </c>
      <c r="J116" t="b">
        <f t="shared" si="2"/>
        <v>0</v>
      </c>
      <c r="K116" t="b">
        <f t="shared" si="3"/>
        <v>1</v>
      </c>
    </row>
    <row r="117" spans="1:11" x14ac:dyDescent="0.3">
      <c r="A117">
        <v>2916</v>
      </c>
      <c r="B117" t="s">
        <v>124</v>
      </c>
      <c r="C117" t="s">
        <v>8</v>
      </c>
      <c r="D117" t="s">
        <v>9</v>
      </c>
      <c r="E117">
        <v>0.97563415799999997</v>
      </c>
      <c r="F117">
        <v>2.4365857000000001E-2</v>
      </c>
      <c r="G117">
        <v>0.97563415799999997</v>
      </c>
      <c r="H117" t="b">
        <v>0</v>
      </c>
      <c r="I117" t="b">
        <v>1</v>
      </c>
      <c r="J117" t="b">
        <f t="shared" si="2"/>
        <v>0</v>
      </c>
      <c r="K117" t="b">
        <f t="shared" si="3"/>
        <v>1</v>
      </c>
    </row>
    <row r="118" spans="1:11" x14ac:dyDescent="0.3">
      <c r="A118">
        <v>5240</v>
      </c>
      <c r="B118" t="s">
        <v>125</v>
      </c>
      <c r="C118" t="s">
        <v>8</v>
      </c>
      <c r="D118" t="s">
        <v>9</v>
      </c>
      <c r="E118">
        <v>0.97530090800000002</v>
      </c>
      <c r="F118">
        <v>2.4699031999999999E-2</v>
      </c>
      <c r="G118">
        <v>0.97530090800000002</v>
      </c>
      <c r="H118" t="b">
        <v>1</v>
      </c>
      <c r="I118" t="b">
        <v>0</v>
      </c>
      <c r="J118" t="b">
        <f t="shared" si="2"/>
        <v>0</v>
      </c>
      <c r="K118" t="b">
        <f t="shared" si="3"/>
        <v>1</v>
      </c>
    </row>
    <row r="119" spans="1:11" x14ac:dyDescent="0.3">
      <c r="A119">
        <v>7961</v>
      </c>
      <c r="B119" t="s">
        <v>126</v>
      </c>
      <c r="C119" t="s">
        <v>8</v>
      </c>
      <c r="D119" t="s">
        <v>9</v>
      </c>
      <c r="E119">
        <v>0.974543571</v>
      </c>
      <c r="F119">
        <v>2.5456428999999999E-2</v>
      </c>
      <c r="G119">
        <v>0.974543571</v>
      </c>
      <c r="H119" t="b">
        <v>0</v>
      </c>
      <c r="I119" t="b">
        <v>1</v>
      </c>
      <c r="J119" t="b">
        <f t="shared" si="2"/>
        <v>0</v>
      </c>
      <c r="K119" t="b">
        <f t="shared" si="3"/>
        <v>1</v>
      </c>
    </row>
    <row r="120" spans="1:11" x14ac:dyDescent="0.3">
      <c r="A120">
        <v>5569</v>
      </c>
      <c r="B120" t="s">
        <v>127</v>
      </c>
      <c r="C120" t="s">
        <v>8</v>
      </c>
      <c r="D120" t="s">
        <v>9</v>
      </c>
      <c r="E120">
        <v>0.97434401500000001</v>
      </c>
      <c r="F120">
        <v>2.5656030999999999E-2</v>
      </c>
      <c r="G120">
        <v>0.97434401500000001</v>
      </c>
      <c r="H120" t="b">
        <v>0</v>
      </c>
      <c r="I120" t="b">
        <v>0</v>
      </c>
      <c r="J120" t="b">
        <f t="shared" si="2"/>
        <v>0</v>
      </c>
      <c r="K120" t="b">
        <f t="shared" si="3"/>
        <v>0</v>
      </c>
    </row>
    <row r="121" spans="1:11" x14ac:dyDescent="0.3">
      <c r="A121">
        <v>3722</v>
      </c>
      <c r="B121" t="s">
        <v>128</v>
      </c>
      <c r="C121" t="s">
        <v>8</v>
      </c>
      <c r="D121" t="s">
        <v>9</v>
      </c>
      <c r="E121">
        <v>0.97419703000000002</v>
      </c>
      <c r="F121">
        <v>2.5802993999999999E-2</v>
      </c>
      <c r="G121">
        <v>0.97419703000000002</v>
      </c>
      <c r="H121" t="b">
        <v>1</v>
      </c>
      <c r="I121" t="b">
        <v>1</v>
      </c>
      <c r="J121" t="b">
        <f t="shared" si="2"/>
        <v>1</v>
      </c>
      <c r="K121" t="b">
        <f t="shared" si="3"/>
        <v>0</v>
      </c>
    </row>
    <row r="122" spans="1:11" x14ac:dyDescent="0.3">
      <c r="A122">
        <v>9088</v>
      </c>
      <c r="B122" t="s">
        <v>129</v>
      </c>
      <c r="C122" t="s">
        <v>8</v>
      </c>
      <c r="D122" t="s">
        <v>9</v>
      </c>
      <c r="E122">
        <v>0.97417193700000004</v>
      </c>
      <c r="F122">
        <v>2.5828128999999998E-2</v>
      </c>
      <c r="G122">
        <v>0.97417193700000004</v>
      </c>
      <c r="H122" t="b">
        <v>0</v>
      </c>
      <c r="I122" t="b">
        <v>0</v>
      </c>
      <c r="J122" t="b">
        <f t="shared" si="2"/>
        <v>0</v>
      </c>
      <c r="K122" t="b">
        <f t="shared" si="3"/>
        <v>0</v>
      </c>
    </row>
    <row r="123" spans="1:11" x14ac:dyDescent="0.3">
      <c r="A123">
        <v>4711</v>
      </c>
      <c r="B123" t="s">
        <v>130</v>
      </c>
      <c r="C123" t="s">
        <v>8</v>
      </c>
      <c r="D123" t="s">
        <v>9</v>
      </c>
      <c r="E123">
        <v>0.974016726</v>
      </c>
      <c r="F123">
        <v>2.5983239000000002E-2</v>
      </c>
      <c r="G123">
        <v>0.974016726</v>
      </c>
      <c r="H123" t="b">
        <v>1</v>
      </c>
      <c r="I123" t="b">
        <v>1</v>
      </c>
      <c r="J123" t="b">
        <f t="shared" si="2"/>
        <v>1</v>
      </c>
      <c r="K123" t="b">
        <f t="shared" si="3"/>
        <v>0</v>
      </c>
    </row>
    <row r="124" spans="1:11" x14ac:dyDescent="0.3">
      <c r="A124">
        <v>1332</v>
      </c>
      <c r="B124" t="s">
        <v>131</v>
      </c>
      <c r="C124" t="s">
        <v>8</v>
      </c>
      <c r="D124" t="s">
        <v>9</v>
      </c>
      <c r="E124">
        <v>0.97361200999999997</v>
      </c>
      <c r="F124">
        <v>2.6388005999999999E-2</v>
      </c>
      <c r="G124">
        <v>0.97361200999999997</v>
      </c>
      <c r="H124" t="b">
        <v>1</v>
      </c>
      <c r="I124" t="b">
        <v>0</v>
      </c>
      <c r="J124" t="b">
        <f t="shared" si="2"/>
        <v>0</v>
      </c>
      <c r="K124" t="b">
        <f t="shared" si="3"/>
        <v>1</v>
      </c>
    </row>
    <row r="125" spans="1:11" x14ac:dyDescent="0.3">
      <c r="A125">
        <v>3862</v>
      </c>
      <c r="B125" t="s">
        <v>132</v>
      </c>
      <c r="C125" t="s">
        <v>8</v>
      </c>
      <c r="D125" t="s">
        <v>9</v>
      </c>
      <c r="E125">
        <v>0.97344851499999996</v>
      </c>
      <c r="F125">
        <v>2.6551419999999999E-2</v>
      </c>
      <c r="G125">
        <v>0.97344851499999996</v>
      </c>
      <c r="H125" t="b">
        <v>1</v>
      </c>
      <c r="I125" t="b">
        <v>1</v>
      </c>
      <c r="J125" t="b">
        <f t="shared" si="2"/>
        <v>1</v>
      </c>
      <c r="K125" t="b">
        <f t="shared" si="3"/>
        <v>0</v>
      </c>
    </row>
    <row r="126" spans="1:11" x14ac:dyDescent="0.3">
      <c r="A126">
        <v>2465</v>
      </c>
      <c r="B126" t="s">
        <v>133</v>
      </c>
      <c r="C126" t="s">
        <v>8</v>
      </c>
      <c r="D126" t="s">
        <v>9</v>
      </c>
      <c r="E126">
        <v>0.97305661399999999</v>
      </c>
      <c r="F126">
        <v>2.6943446999999999E-2</v>
      </c>
      <c r="G126">
        <v>0.97305661399999999</v>
      </c>
      <c r="H126" t="b">
        <v>0</v>
      </c>
      <c r="I126" t="b">
        <v>0</v>
      </c>
      <c r="J126" t="b">
        <f t="shared" si="2"/>
        <v>0</v>
      </c>
      <c r="K126" t="b">
        <f t="shared" si="3"/>
        <v>0</v>
      </c>
    </row>
    <row r="127" spans="1:11" x14ac:dyDescent="0.3">
      <c r="A127">
        <v>6926</v>
      </c>
      <c r="B127" t="s">
        <v>134</v>
      </c>
      <c r="C127" t="s">
        <v>8</v>
      </c>
      <c r="D127" t="s">
        <v>9</v>
      </c>
      <c r="E127">
        <v>0.97294825299999999</v>
      </c>
      <c r="F127">
        <v>2.7051763999999999E-2</v>
      </c>
      <c r="G127">
        <v>0.97294825299999999</v>
      </c>
      <c r="H127" t="b">
        <v>0</v>
      </c>
      <c r="I127" t="b">
        <v>1</v>
      </c>
      <c r="J127" t="b">
        <f t="shared" si="2"/>
        <v>0</v>
      </c>
      <c r="K127" t="b">
        <f t="shared" si="3"/>
        <v>1</v>
      </c>
    </row>
    <row r="128" spans="1:11" x14ac:dyDescent="0.3">
      <c r="A128">
        <v>7403</v>
      </c>
      <c r="B128" t="s">
        <v>135</v>
      </c>
      <c r="C128" t="s">
        <v>8</v>
      </c>
      <c r="D128" t="s">
        <v>9</v>
      </c>
      <c r="E128">
        <v>0.972807109</v>
      </c>
      <c r="F128">
        <v>2.7192865E-2</v>
      </c>
      <c r="G128">
        <v>0.972807109</v>
      </c>
      <c r="H128" t="b">
        <v>1</v>
      </c>
      <c r="I128" t="b">
        <v>1</v>
      </c>
      <c r="J128" t="b">
        <f t="shared" si="2"/>
        <v>1</v>
      </c>
      <c r="K128" t="b">
        <f t="shared" si="3"/>
        <v>0</v>
      </c>
    </row>
    <row r="129" spans="1:11" x14ac:dyDescent="0.3">
      <c r="A129">
        <v>7424</v>
      </c>
      <c r="B129" t="s">
        <v>136</v>
      </c>
      <c r="C129" t="s">
        <v>8</v>
      </c>
      <c r="D129" t="s">
        <v>9</v>
      </c>
      <c r="E129">
        <v>0.97241204999999997</v>
      </c>
      <c r="F129">
        <v>2.7587983999999999E-2</v>
      </c>
      <c r="G129">
        <v>0.97241204999999997</v>
      </c>
      <c r="H129" t="b">
        <v>1</v>
      </c>
      <c r="I129" t="b">
        <v>0</v>
      </c>
      <c r="J129" t="b">
        <f t="shared" si="2"/>
        <v>0</v>
      </c>
      <c r="K129" t="b">
        <f t="shared" si="3"/>
        <v>1</v>
      </c>
    </row>
    <row r="130" spans="1:11" x14ac:dyDescent="0.3">
      <c r="A130">
        <v>3621</v>
      </c>
      <c r="B130" t="s">
        <v>137</v>
      </c>
      <c r="C130" t="s">
        <v>8</v>
      </c>
      <c r="D130" t="s">
        <v>9</v>
      </c>
      <c r="E130">
        <v>0.97201591700000001</v>
      </c>
      <c r="F130">
        <v>2.7984047000000001E-2</v>
      </c>
      <c r="G130">
        <v>0.97201591700000001</v>
      </c>
      <c r="H130" t="b">
        <v>1</v>
      </c>
      <c r="I130" t="b">
        <v>1</v>
      </c>
      <c r="J130" t="b">
        <f t="shared" si="2"/>
        <v>1</v>
      </c>
      <c r="K130" t="b">
        <f t="shared" si="3"/>
        <v>0</v>
      </c>
    </row>
    <row r="131" spans="1:11" x14ac:dyDescent="0.3">
      <c r="A131">
        <v>1441</v>
      </c>
      <c r="B131" t="s">
        <v>138</v>
      </c>
      <c r="C131" t="s">
        <v>8</v>
      </c>
      <c r="D131" t="s">
        <v>9</v>
      </c>
      <c r="E131">
        <v>0.97117012700000005</v>
      </c>
      <c r="F131">
        <v>2.8829865E-2</v>
      </c>
      <c r="G131">
        <v>0.97117012700000005</v>
      </c>
      <c r="H131" t="b">
        <v>0</v>
      </c>
      <c r="I131" t="b">
        <v>0</v>
      </c>
      <c r="J131" t="b">
        <f t="shared" ref="J131:J194" si="4">AND(H131:I131)</f>
        <v>0</v>
      </c>
      <c r="K131" t="b">
        <f t="shared" ref="K131:K194" si="5">NOT(H131=I131)</f>
        <v>0</v>
      </c>
    </row>
    <row r="132" spans="1:11" x14ac:dyDescent="0.3">
      <c r="A132">
        <v>3696</v>
      </c>
      <c r="B132" t="s">
        <v>139</v>
      </c>
      <c r="C132" t="s">
        <v>8</v>
      </c>
      <c r="D132" t="s">
        <v>9</v>
      </c>
      <c r="E132">
        <v>0.97070014500000001</v>
      </c>
      <c r="F132">
        <v>2.92999E-2</v>
      </c>
      <c r="G132">
        <v>0.97070014500000001</v>
      </c>
      <c r="H132" t="b">
        <v>1</v>
      </c>
      <c r="I132" t="b">
        <v>1</v>
      </c>
      <c r="J132" t="b">
        <f t="shared" si="4"/>
        <v>1</v>
      </c>
      <c r="K132" t="b">
        <f t="shared" si="5"/>
        <v>0</v>
      </c>
    </row>
    <row r="133" spans="1:11" x14ac:dyDescent="0.3">
      <c r="A133">
        <v>321</v>
      </c>
      <c r="B133" t="s">
        <v>140</v>
      </c>
      <c r="C133" t="s">
        <v>8</v>
      </c>
      <c r="D133" t="s">
        <v>9</v>
      </c>
      <c r="E133">
        <v>0.97067350100000005</v>
      </c>
      <c r="F133">
        <v>2.9326512999999998E-2</v>
      </c>
      <c r="G133">
        <v>0.97067350100000005</v>
      </c>
      <c r="H133" t="b">
        <v>1</v>
      </c>
      <c r="I133" t="b">
        <v>1</v>
      </c>
      <c r="J133" t="b">
        <f t="shared" si="4"/>
        <v>1</v>
      </c>
      <c r="K133" t="b">
        <f t="shared" si="5"/>
        <v>0</v>
      </c>
    </row>
    <row r="134" spans="1:11" x14ac:dyDescent="0.3">
      <c r="A134">
        <v>9533</v>
      </c>
      <c r="B134" t="s">
        <v>141</v>
      </c>
      <c r="C134" t="s">
        <v>8</v>
      </c>
      <c r="D134" t="s">
        <v>9</v>
      </c>
      <c r="E134">
        <v>0.970246673</v>
      </c>
      <c r="F134">
        <v>2.9753292000000001E-2</v>
      </c>
      <c r="G134">
        <v>0.970246673</v>
      </c>
      <c r="H134" t="b">
        <v>0</v>
      </c>
      <c r="I134" t="b">
        <v>0</v>
      </c>
      <c r="J134" t="b">
        <f t="shared" si="4"/>
        <v>0</v>
      </c>
      <c r="K134" t="b">
        <f t="shared" si="5"/>
        <v>0</v>
      </c>
    </row>
    <row r="135" spans="1:11" x14ac:dyDescent="0.3">
      <c r="A135">
        <v>4230</v>
      </c>
      <c r="B135" t="s">
        <v>142</v>
      </c>
      <c r="C135" t="s">
        <v>8</v>
      </c>
      <c r="D135" t="s">
        <v>9</v>
      </c>
      <c r="E135">
        <v>0.96987915000000002</v>
      </c>
      <c r="F135">
        <v>3.0120878E-2</v>
      </c>
      <c r="G135">
        <v>0.96987915000000002</v>
      </c>
      <c r="H135" t="b">
        <v>0</v>
      </c>
      <c r="I135" t="b">
        <v>1</v>
      </c>
      <c r="J135" t="b">
        <f t="shared" si="4"/>
        <v>0</v>
      </c>
      <c r="K135" t="b">
        <f t="shared" si="5"/>
        <v>1</v>
      </c>
    </row>
    <row r="136" spans="1:11" x14ac:dyDescent="0.3">
      <c r="A136">
        <v>10047</v>
      </c>
      <c r="B136" t="s">
        <v>143</v>
      </c>
      <c r="C136" t="s">
        <v>8</v>
      </c>
      <c r="D136" t="s">
        <v>9</v>
      </c>
      <c r="E136">
        <v>0.96983039400000004</v>
      </c>
      <c r="F136">
        <v>3.0169601000000001E-2</v>
      </c>
      <c r="G136">
        <v>0.96983039400000004</v>
      </c>
      <c r="H136" t="b">
        <v>0</v>
      </c>
      <c r="I136" t="b">
        <v>0</v>
      </c>
      <c r="J136" t="b">
        <f t="shared" si="4"/>
        <v>0</v>
      </c>
      <c r="K136" t="b">
        <f t="shared" si="5"/>
        <v>0</v>
      </c>
    </row>
    <row r="137" spans="1:11" x14ac:dyDescent="0.3">
      <c r="A137">
        <v>5572</v>
      </c>
      <c r="B137" t="s">
        <v>144</v>
      </c>
      <c r="C137" t="s">
        <v>8</v>
      </c>
      <c r="D137" t="s">
        <v>9</v>
      </c>
      <c r="E137">
        <v>0.96978431899999995</v>
      </c>
      <c r="F137">
        <v>3.0215755E-2</v>
      </c>
      <c r="G137">
        <v>0.96978431899999995</v>
      </c>
      <c r="H137" t="b">
        <v>0</v>
      </c>
      <c r="I137" t="b">
        <v>0</v>
      </c>
      <c r="J137" t="b">
        <f t="shared" si="4"/>
        <v>0</v>
      </c>
      <c r="K137" t="b">
        <f t="shared" si="5"/>
        <v>0</v>
      </c>
    </row>
    <row r="138" spans="1:11" x14ac:dyDescent="0.3">
      <c r="A138">
        <v>2525</v>
      </c>
      <c r="B138" t="s">
        <v>145</v>
      </c>
      <c r="C138" t="s">
        <v>8</v>
      </c>
      <c r="D138" t="s">
        <v>9</v>
      </c>
      <c r="E138">
        <v>0.96958106799999999</v>
      </c>
      <c r="F138">
        <v>3.0418939999999998E-2</v>
      </c>
      <c r="G138">
        <v>0.96958106799999999</v>
      </c>
      <c r="H138" t="b">
        <v>0</v>
      </c>
      <c r="I138" t="b">
        <v>1</v>
      </c>
      <c r="J138" t="b">
        <f t="shared" si="4"/>
        <v>0</v>
      </c>
      <c r="K138" t="b">
        <f t="shared" si="5"/>
        <v>1</v>
      </c>
    </row>
    <row r="139" spans="1:11" x14ac:dyDescent="0.3">
      <c r="A139">
        <v>4946</v>
      </c>
      <c r="B139" t="s">
        <v>146</v>
      </c>
      <c r="C139" t="s">
        <v>8</v>
      </c>
      <c r="D139" t="s">
        <v>9</v>
      </c>
      <c r="E139">
        <v>0.96861511499999997</v>
      </c>
      <c r="F139">
        <v>3.1384929999999998E-2</v>
      </c>
      <c r="G139">
        <v>0.96861511499999997</v>
      </c>
      <c r="H139" t="b">
        <v>1</v>
      </c>
      <c r="I139" t="b">
        <v>1</v>
      </c>
      <c r="J139" t="b">
        <f t="shared" si="4"/>
        <v>1</v>
      </c>
      <c r="K139" t="b">
        <f t="shared" si="5"/>
        <v>0</v>
      </c>
    </row>
    <row r="140" spans="1:11" x14ac:dyDescent="0.3">
      <c r="A140">
        <v>4889</v>
      </c>
      <c r="B140" t="s">
        <v>147</v>
      </c>
      <c r="C140" t="s">
        <v>8</v>
      </c>
      <c r="D140" t="s">
        <v>9</v>
      </c>
      <c r="E140">
        <v>0.96843791000000001</v>
      </c>
      <c r="F140">
        <v>3.1562064000000001E-2</v>
      </c>
      <c r="G140">
        <v>0.96843791000000001</v>
      </c>
      <c r="H140" t="b">
        <v>0</v>
      </c>
      <c r="I140" t="b">
        <v>0</v>
      </c>
      <c r="J140" t="b">
        <f t="shared" si="4"/>
        <v>0</v>
      </c>
      <c r="K140" t="b">
        <f t="shared" si="5"/>
        <v>0</v>
      </c>
    </row>
    <row r="141" spans="1:11" x14ac:dyDescent="0.3">
      <c r="A141">
        <v>6761</v>
      </c>
      <c r="B141" t="s">
        <v>148</v>
      </c>
      <c r="C141" t="s">
        <v>8</v>
      </c>
      <c r="D141" t="s">
        <v>9</v>
      </c>
      <c r="E141">
        <v>0.96837741099999997</v>
      </c>
      <c r="F141">
        <v>3.1622576999999999E-2</v>
      </c>
      <c r="G141">
        <v>0.96837741099999997</v>
      </c>
      <c r="H141" t="b">
        <v>0</v>
      </c>
      <c r="I141" t="b">
        <v>0</v>
      </c>
      <c r="J141" t="b">
        <f t="shared" si="4"/>
        <v>0</v>
      </c>
      <c r="K141" t="b">
        <f t="shared" si="5"/>
        <v>0</v>
      </c>
    </row>
    <row r="142" spans="1:11" x14ac:dyDescent="0.3">
      <c r="A142">
        <v>638</v>
      </c>
      <c r="B142" t="s">
        <v>149</v>
      </c>
      <c r="C142" t="s">
        <v>8</v>
      </c>
      <c r="D142" t="s">
        <v>9</v>
      </c>
      <c r="E142">
        <v>0.96710169300000004</v>
      </c>
      <c r="F142">
        <v>3.2898318000000003E-2</v>
      </c>
      <c r="G142">
        <v>0.96710169300000004</v>
      </c>
      <c r="H142" t="b">
        <v>0</v>
      </c>
      <c r="I142" t="b">
        <v>1</v>
      </c>
      <c r="J142" t="b">
        <f t="shared" si="4"/>
        <v>0</v>
      </c>
      <c r="K142" t="b">
        <f t="shared" si="5"/>
        <v>1</v>
      </c>
    </row>
    <row r="143" spans="1:11" x14ac:dyDescent="0.3">
      <c r="A143">
        <v>2358</v>
      </c>
      <c r="B143" t="s">
        <v>150</v>
      </c>
      <c r="C143" t="s">
        <v>8</v>
      </c>
      <c r="D143" t="s">
        <v>9</v>
      </c>
      <c r="E143">
        <v>0.96604061100000005</v>
      </c>
      <c r="F143">
        <v>3.3959359000000001E-2</v>
      </c>
      <c r="G143">
        <v>0.96604061100000005</v>
      </c>
      <c r="H143" t="b">
        <v>1</v>
      </c>
      <c r="I143" t="b">
        <v>1</v>
      </c>
      <c r="J143" t="b">
        <f t="shared" si="4"/>
        <v>1</v>
      </c>
      <c r="K143" t="b">
        <f t="shared" si="5"/>
        <v>0</v>
      </c>
    </row>
    <row r="144" spans="1:11" x14ac:dyDescent="0.3">
      <c r="A144">
        <v>2633</v>
      </c>
      <c r="B144" t="s">
        <v>151</v>
      </c>
      <c r="C144" t="s">
        <v>8</v>
      </c>
      <c r="D144" t="s">
        <v>9</v>
      </c>
      <c r="E144">
        <v>0.965552568</v>
      </c>
      <c r="F144">
        <v>3.4447353E-2</v>
      </c>
      <c r="G144">
        <v>0.965552568</v>
      </c>
      <c r="H144" t="b">
        <v>1</v>
      </c>
      <c r="I144" t="b">
        <v>1</v>
      </c>
      <c r="J144" t="b">
        <f t="shared" si="4"/>
        <v>1</v>
      </c>
      <c r="K144" t="b">
        <f t="shared" si="5"/>
        <v>0</v>
      </c>
    </row>
    <row r="145" spans="1:11" x14ac:dyDescent="0.3">
      <c r="A145">
        <v>7671</v>
      </c>
      <c r="B145" t="s">
        <v>152</v>
      </c>
      <c r="C145" t="s">
        <v>8</v>
      </c>
      <c r="D145" t="s">
        <v>9</v>
      </c>
      <c r="E145">
        <v>0.96541225900000005</v>
      </c>
      <c r="F145">
        <v>3.4587745000000003E-2</v>
      </c>
      <c r="G145">
        <v>0.96541225900000005</v>
      </c>
      <c r="H145" t="b">
        <v>1</v>
      </c>
      <c r="I145" t="b">
        <v>1</v>
      </c>
      <c r="J145" t="b">
        <f t="shared" si="4"/>
        <v>1</v>
      </c>
      <c r="K145" t="b">
        <f t="shared" si="5"/>
        <v>0</v>
      </c>
    </row>
    <row r="146" spans="1:11" x14ac:dyDescent="0.3">
      <c r="A146">
        <v>3592</v>
      </c>
      <c r="B146" t="s">
        <v>153</v>
      </c>
      <c r="C146" t="s">
        <v>8</v>
      </c>
      <c r="D146" t="s">
        <v>9</v>
      </c>
      <c r="E146">
        <v>0.96496915800000005</v>
      </c>
      <c r="F146">
        <v>3.5030879000000001E-2</v>
      </c>
      <c r="G146">
        <v>0.96496915800000005</v>
      </c>
      <c r="H146" t="b">
        <v>0</v>
      </c>
      <c r="I146" t="b">
        <v>1</v>
      </c>
      <c r="J146" t="b">
        <f t="shared" si="4"/>
        <v>0</v>
      </c>
      <c r="K146" t="b">
        <f t="shared" si="5"/>
        <v>1</v>
      </c>
    </row>
    <row r="147" spans="1:11" x14ac:dyDescent="0.3">
      <c r="A147">
        <v>1600</v>
      </c>
      <c r="B147" t="s">
        <v>154</v>
      </c>
      <c r="C147" t="s">
        <v>8</v>
      </c>
      <c r="D147" t="s">
        <v>9</v>
      </c>
      <c r="E147">
        <v>0.96455991299999999</v>
      </c>
      <c r="F147">
        <v>3.5440042999999997E-2</v>
      </c>
      <c r="G147">
        <v>0.96455991299999999</v>
      </c>
      <c r="H147" t="b">
        <v>1</v>
      </c>
      <c r="I147" t="b">
        <v>1</v>
      </c>
      <c r="J147" t="b">
        <f t="shared" si="4"/>
        <v>1</v>
      </c>
      <c r="K147" t="b">
        <f t="shared" si="5"/>
        <v>0</v>
      </c>
    </row>
    <row r="148" spans="1:11" x14ac:dyDescent="0.3">
      <c r="A148">
        <v>830</v>
      </c>
      <c r="B148" t="s">
        <v>155</v>
      </c>
      <c r="C148" t="s">
        <v>8</v>
      </c>
      <c r="D148" t="s">
        <v>9</v>
      </c>
      <c r="E148">
        <v>0.96337324400000002</v>
      </c>
      <c r="F148">
        <v>3.6626771000000002E-2</v>
      </c>
      <c r="G148">
        <v>0.96337324400000002</v>
      </c>
      <c r="H148" t="b">
        <v>0</v>
      </c>
      <c r="I148" t="b">
        <v>0</v>
      </c>
      <c r="J148" t="b">
        <f t="shared" si="4"/>
        <v>0</v>
      </c>
      <c r="K148" t="b">
        <f t="shared" si="5"/>
        <v>0</v>
      </c>
    </row>
    <row r="149" spans="1:11" x14ac:dyDescent="0.3">
      <c r="A149">
        <v>2892</v>
      </c>
      <c r="B149" t="s">
        <v>156</v>
      </c>
      <c r="C149" t="s">
        <v>8</v>
      </c>
      <c r="D149" t="s">
        <v>9</v>
      </c>
      <c r="E149">
        <v>0.96305304800000002</v>
      </c>
      <c r="F149">
        <v>3.6946908000000001E-2</v>
      </c>
      <c r="G149">
        <v>0.96305304800000002</v>
      </c>
      <c r="H149" t="b">
        <v>0</v>
      </c>
      <c r="I149" t="b">
        <v>0</v>
      </c>
      <c r="J149" t="b">
        <f t="shared" si="4"/>
        <v>0</v>
      </c>
      <c r="K149" t="b">
        <f t="shared" si="5"/>
        <v>0</v>
      </c>
    </row>
    <row r="150" spans="1:11" x14ac:dyDescent="0.3">
      <c r="A150">
        <v>9865</v>
      </c>
      <c r="B150" t="s">
        <v>157</v>
      </c>
      <c r="C150" t="s">
        <v>8</v>
      </c>
      <c r="D150" t="s">
        <v>9</v>
      </c>
      <c r="E150">
        <v>0.96181046999999997</v>
      </c>
      <c r="F150">
        <v>3.8189533999999997E-2</v>
      </c>
      <c r="G150">
        <v>0.96181046999999997</v>
      </c>
      <c r="H150" t="b">
        <v>1</v>
      </c>
      <c r="I150" t="b">
        <v>1</v>
      </c>
      <c r="J150" t="b">
        <f t="shared" si="4"/>
        <v>1</v>
      </c>
      <c r="K150" t="b">
        <f t="shared" si="5"/>
        <v>0</v>
      </c>
    </row>
    <row r="151" spans="1:11" x14ac:dyDescent="0.3">
      <c r="A151">
        <v>4832</v>
      </c>
      <c r="B151" t="s">
        <v>158</v>
      </c>
      <c r="C151" t="s">
        <v>8</v>
      </c>
      <c r="D151" t="s">
        <v>9</v>
      </c>
      <c r="E151">
        <v>0.96167725299999995</v>
      </c>
      <c r="F151">
        <v>3.8322769E-2</v>
      </c>
      <c r="G151">
        <v>0.96167725299999995</v>
      </c>
      <c r="H151" t="b">
        <v>1</v>
      </c>
      <c r="I151" t="b">
        <v>0</v>
      </c>
      <c r="J151" t="b">
        <f t="shared" si="4"/>
        <v>0</v>
      </c>
      <c r="K151" t="b">
        <f t="shared" si="5"/>
        <v>1</v>
      </c>
    </row>
    <row r="152" spans="1:11" x14ac:dyDescent="0.3">
      <c r="A152">
        <v>4511</v>
      </c>
      <c r="B152" t="s">
        <v>159</v>
      </c>
      <c r="C152" t="s">
        <v>8</v>
      </c>
      <c r="D152" t="s">
        <v>9</v>
      </c>
      <c r="E152">
        <v>0.96127647199999999</v>
      </c>
      <c r="F152">
        <v>3.8723520999999997E-2</v>
      </c>
      <c r="G152">
        <v>0.96127647199999999</v>
      </c>
      <c r="H152" t="b">
        <v>0</v>
      </c>
      <c r="I152" t="b">
        <v>0</v>
      </c>
      <c r="J152" t="b">
        <f t="shared" si="4"/>
        <v>0</v>
      </c>
      <c r="K152" t="b">
        <f t="shared" si="5"/>
        <v>0</v>
      </c>
    </row>
    <row r="153" spans="1:11" x14ac:dyDescent="0.3">
      <c r="A153">
        <v>1919</v>
      </c>
      <c r="B153" t="s">
        <v>160</v>
      </c>
      <c r="C153" t="s">
        <v>8</v>
      </c>
      <c r="D153" t="s">
        <v>9</v>
      </c>
      <c r="E153">
        <v>0.96111470499999996</v>
      </c>
      <c r="F153">
        <v>3.8885350999999999E-2</v>
      </c>
      <c r="G153">
        <v>0.96111470499999996</v>
      </c>
      <c r="H153" t="b">
        <v>1</v>
      </c>
      <c r="I153" t="b">
        <v>0</v>
      </c>
      <c r="J153" t="b">
        <f t="shared" si="4"/>
        <v>0</v>
      </c>
      <c r="K153" t="b">
        <f t="shared" si="5"/>
        <v>1</v>
      </c>
    </row>
    <row r="154" spans="1:11" x14ac:dyDescent="0.3">
      <c r="A154">
        <v>6232</v>
      </c>
      <c r="B154" t="s">
        <v>161</v>
      </c>
      <c r="C154" t="s">
        <v>8</v>
      </c>
      <c r="D154" t="s">
        <v>9</v>
      </c>
      <c r="E154">
        <v>0.96109169699999997</v>
      </c>
      <c r="F154">
        <v>3.8908374000000003E-2</v>
      </c>
      <c r="G154">
        <v>0.96109169699999997</v>
      </c>
      <c r="H154" t="b">
        <v>1</v>
      </c>
      <c r="I154" t="b">
        <v>1</v>
      </c>
      <c r="J154" t="b">
        <f t="shared" si="4"/>
        <v>1</v>
      </c>
      <c r="K154" t="b">
        <f t="shared" si="5"/>
        <v>0</v>
      </c>
    </row>
    <row r="155" spans="1:11" x14ac:dyDescent="0.3">
      <c r="A155">
        <v>10243</v>
      </c>
      <c r="B155" t="s">
        <v>162</v>
      </c>
      <c r="C155" t="s">
        <v>8</v>
      </c>
      <c r="D155" t="s">
        <v>9</v>
      </c>
      <c r="E155">
        <v>0.96098935600000002</v>
      </c>
      <c r="F155">
        <v>3.9010648000000002E-2</v>
      </c>
      <c r="G155">
        <v>0.96098935600000002</v>
      </c>
      <c r="H155" t="b">
        <v>0</v>
      </c>
      <c r="I155" t="b">
        <v>0</v>
      </c>
      <c r="J155" t="b">
        <f t="shared" si="4"/>
        <v>0</v>
      </c>
      <c r="K155" t="b">
        <f t="shared" si="5"/>
        <v>0</v>
      </c>
    </row>
    <row r="156" spans="1:11" x14ac:dyDescent="0.3">
      <c r="A156">
        <v>893</v>
      </c>
      <c r="B156" t="s">
        <v>163</v>
      </c>
      <c r="C156" t="s">
        <v>8</v>
      </c>
      <c r="D156" t="s">
        <v>9</v>
      </c>
      <c r="E156">
        <v>0.960446417</v>
      </c>
      <c r="F156">
        <v>3.9553624000000003E-2</v>
      </c>
      <c r="G156">
        <v>0.960446417</v>
      </c>
      <c r="H156" t="b">
        <v>0</v>
      </c>
      <c r="I156" t="b">
        <v>1</v>
      </c>
      <c r="J156" t="b">
        <f t="shared" si="4"/>
        <v>0</v>
      </c>
      <c r="K156" t="b">
        <f t="shared" si="5"/>
        <v>1</v>
      </c>
    </row>
    <row r="157" spans="1:11" x14ac:dyDescent="0.3">
      <c r="A157">
        <v>296</v>
      </c>
      <c r="B157" t="s">
        <v>164</v>
      </c>
      <c r="C157" t="s">
        <v>8</v>
      </c>
      <c r="D157" t="s">
        <v>9</v>
      </c>
      <c r="E157">
        <v>0.959306777</v>
      </c>
      <c r="F157">
        <v>4.0693298000000003E-2</v>
      </c>
      <c r="G157">
        <v>0.959306777</v>
      </c>
      <c r="H157" t="b">
        <v>0</v>
      </c>
      <c r="I157" t="b">
        <v>0</v>
      </c>
      <c r="J157" t="b">
        <f t="shared" si="4"/>
        <v>0</v>
      </c>
      <c r="K157" t="b">
        <f t="shared" si="5"/>
        <v>0</v>
      </c>
    </row>
    <row r="158" spans="1:11" x14ac:dyDescent="0.3">
      <c r="A158">
        <v>491</v>
      </c>
      <c r="B158" t="s">
        <v>165</v>
      </c>
      <c r="C158" t="s">
        <v>8</v>
      </c>
      <c r="D158" t="s">
        <v>9</v>
      </c>
      <c r="E158">
        <v>0.95841008400000005</v>
      </c>
      <c r="F158">
        <v>4.1589941999999998E-2</v>
      </c>
      <c r="G158">
        <v>0.95841008400000005</v>
      </c>
      <c r="H158" t="b">
        <v>0</v>
      </c>
      <c r="I158" t="b">
        <v>1</v>
      </c>
      <c r="J158" t="b">
        <f t="shared" si="4"/>
        <v>0</v>
      </c>
      <c r="K158" t="b">
        <f t="shared" si="5"/>
        <v>1</v>
      </c>
    </row>
    <row r="159" spans="1:11" x14ac:dyDescent="0.3">
      <c r="A159">
        <v>8581</v>
      </c>
      <c r="B159" t="s">
        <v>166</v>
      </c>
      <c r="C159" t="s">
        <v>8</v>
      </c>
      <c r="D159" t="s">
        <v>9</v>
      </c>
      <c r="E159">
        <v>0.95817702999999999</v>
      </c>
      <c r="F159">
        <v>4.1822981000000002E-2</v>
      </c>
      <c r="G159">
        <v>0.95817702999999999</v>
      </c>
      <c r="H159" t="b">
        <v>0</v>
      </c>
      <c r="I159" t="b">
        <v>0</v>
      </c>
      <c r="J159" t="b">
        <f t="shared" si="4"/>
        <v>0</v>
      </c>
      <c r="K159" t="b">
        <f t="shared" si="5"/>
        <v>0</v>
      </c>
    </row>
    <row r="160" spans="1:11" x14ac:dyDescent="0.3">
      <c r="A160">
        <v>2114</v>
      </c>
      <c r="B160" t="s">
        <v>167</v>
      </c>
      <c r="C160" t="s">
        <v>8</v>
      </c>
      <c r="D160" t="s">
        <v>9</v>
      </c>
      <c r="E160">
        <v>0.95774316800000003</v>
      </c>
      <c r="F160">
        <v>4.2256861999999999E-2</v>
      </c>
      <c r="G160">
        <v>0.95774316800000003</v>
      </c>
      <c r="H160" t="b">
        <v>0</v>
      </c>
      <c r="I160" t="b">
        <v>0</v>
      </c>
      <c r="J160" t="b">
        <f t="shared" si="4"/>
        <v>0</v>
      </c>
      <c r="K160" t="b">
        <f t="shared" si="5"/>
        <v>0</v>
      </c>
    </row>
    <row r="161" spans="1:11" x14ac:dyDescent="0.3">
      <c r="A161">
        <v>2921</v>
      </c>
      <c r="B161" t="s">
        <v>168</v>
      </c>
      <c r="C161" t="s">
        <v>8</v>
      </c>
      <c r="D161" t="s">
        <v>9</v>
      </c>
      <c r="E161">
        <v>0.95739084500000005</v>
      </c>
      <c r="F161">
        <v>4.2609129000000003E-2</v>
      </c>
      <c r="G161">
        <v>0.95739084500000005</v>
      </c>
      <c r="H161" t="b">
        <v>0</v>
      </c>
      <c r="I161" t="b">
        <v>0</v>
      </c>
      <c r="J161" t="b">
        <f t="shared" si="4"/>
        <v>0</v>
      </c>
      <c r="K161" t="b">
        <f t="shared" si="5"/>
        <v>0</v>
      </c>
    </row>
    <row r="162" spans="1:11" x14ac:dyDescent="0.3">
      <c r="A162">
        <v>4143</v>
      </c>
      <c r="B162" t="s">
        <v>169</v>
      </c>
      <c r="C162" t="s">
        <v>8</v>
      </c>
      <c r="D162" t="s">
        <v>9</v>
      </c>
      <c r="E162">
        <v>0.95671343799999997</v>
      </c>
      <c r="F162">
        <v>4.3286524999999999E-2</v>
      </c>
      <c r="G162">
        <v>0.95671343799999997</v>
      </c>
      <c r="H162" t="b">
        <v>0</v>
      </c>
      <c r="I162" t="b">
        <v>0</v>
      </c>
      <c r="J162" t="b">
        <f t="shared" si="4"/>
        <v>0</v>
      </c>
      <c r="K162" t="b">
        <f t="shared" si="5"/>
        <v>0</v>
      </c>
    </row>
    <row r="163" spans="1:11" x14ac:dyDescent="0.3">
      <c r="A163">
        <v>241</v>
      </c>
      <c r="B163" t="s">
        <v>170</v>
      </c>
      <c r="C163" t="s">
        <v>8</v>
      </c>
      <c r="D163" t="s">
        <v>9</v>
      </c>
      <c r="E163">
        <v>0.95647638999999995</v>
      </c>
      <c r="F163">
        <v>4.3523591E-2</v>
      </c>
      <c r="G163">
        <v>0.95647638999999995</v>
      </c>
      <c r="H163" t="b">
        <v>1</v>
      </c>
      <c r="I163" t="b">
        <v>1</v>
      </c>
      <c r="J163" t="b">
        <f t="shared" si="4"/>
        <v>1</v>
      </c>
      <c r="K163" t="b">
        <f t="shared" si="5"/>
        <v>0</v>
      </c>
    </row>
    <row r="164" spans="1:11" x14ac:dyDescent="0.3">
      <c r="A164">
        <v>8427</v>
      </c>
      <c r="B164" t="s">
        <v>171</v>
      </c>
      <c r="C164" t="s">
        <v>8</v>
      </c>
      <c r="D164" t="s">
        <v>9</v>
      </c>
      <c r="E164">
        <v>0.95605748899999998</v>
      </c>
      <c r="F164">
        <v>4.3942526000000003E-2</v>
      </c>
      <c r="G164">
        <v>0.95605748899999998</v>
      </c>
      <c r="H164" t="b">
        <v>1</v>
      </c>
      <c r="I164" t="b">
        <v>0</v>
      </c>
      <c r="J164" t="b">
        <f t="shared" si="4"/>
        <v>0</v>
      </c>
      <c r="K164" t="b">
        <f t="shared" si="5"/>
        <v>1</v>
      </c>
    </row>
    <row r="165" spans="1:11" x14ac:dyDescent="0.3">
      <c r="A165">
        <v>4280</v>
      </c>
      <c r="B165" t="s">
        <v>172</v>
      </c>
      <c r="C165" t="s">
        <v>8</v>
      </c>
      <c r="D165" t="s">
        <v>9</v>
      </c>
      <c r="E165">
        <v>0.95566177399999996</v>
      </c>
      <c r="F165">
        <v>4.4338197000000003E-2</v>
      </c>
      <c r="G165">
        <v>0.95566177399999996</v>
      </c>
      <c r="H165" t="b">
        <v>1</v>
      </c>
      <c r="I165" t="b">
        <v>1</v>
      </c>
      <c r="J165" t="b">
        <f t="shared" si="4"/>
        <v>1</v>
      </c>
      <c r="K165" t="b">
        <f t="shared" si="5"/>
        <v>0</v>
      </c>
    </row>
    <row r="166" spans="1:11" x14ac:dyDescent="0.3">
      <c r="A166">
        <v>6607</v>
      </c>
      <c r="B166" t="s">
        <v>173</v>
      </c>
      <c r="C166" t="s">
        <v>8</v>
      </c>
      <c r="D166" t="s">
        <v>9</v>
      </c>
      <c r="E166">
        <v>0.95557612199999997</v>
      </c>
      <c r="F166">
        <v>4.4423901000000002E-2</v>
      </c>
      <c r="G166">
        <v>0.95557612199999997</v>
      </c>
      <c r="H166" t="b">
        <v>0</v>
      </c>
      <c r="I166" t="b">
        <v>0</v>
      </c>
      <c r="J166" t="b">
        <f t="shared" si="4"/>
        <v>0</v>
      </c>
      <c r="K166" t="b">
        <f t="shared" si="5"/>
        <v>0</v>
      </c>
    </row>
    <row r="167" spans="1:11" x14ac:dyDescent="0.3">
      <c r="A167">
        <v>2431</v>
      </c>
      <c r="B167" t="s">
        <v>174</v>
      </c>
      <c r="C167" t="s">
        <v>8</v>
      </c>
      <c r="D167" t="s">
        <v>9</v>
      </c>
      <c r="E167">
        <v>0.95551133200000005</v>
      </c>
      <c r="F167">
        <v>4.4488701999999998E-2</v>
      </c>
      <c r="G167">
        <v>0.95551133200000005</v>
      </c>
      <c r="H167" t="b">
        <v>1</v>
      </c>
      <c r="I167" t="b">
        <v>1</v>
      </c>
      <c r="J167" t="b">
        <f t="shared" si="4"/>
        <v>1</v>
      </c>
      <c r="K167" t="b">
        <f t="shared" si="5"/>
        <v>0</v>
      </c>
    </row>
    <row r="168" spans="1:11" x14ac:dyDescent="0.3">
      <c r="A168">
        <v>7235</v>
      </c>
      <c r="B168" t="s">
        <v>175</v>
      </c>
      <c r="C168" t="s">
        <v>8</v>
      </c>
      <c r="D168" t="s">
        <v>9</v>
      </c>
      <c r="E168">
        <v>0.955219865</v>
      </c>
      <c r="F168">
        <v>4.4780180000000003E-2</v>
      </c>
      <c r="G168">
        <v>0.955219865</v>
      </c>
      <c r="H168" t="b">
        <v>1</v>
      </c>
      <c r="I168" t="b">
        <v>1</v>
      </c>
      <c r="J168" t="b">
        <f t="shared" si="4"/>
        <v>1</v>
      </c>
      <c r="K168" t="b">
        <f t="shared" si="5"/>
        <v>0</v>
      </c>
    </row>
    <row r="169" spans="1:11" x14ac:dyDescent="0.3">
      <c r="A169">
        <v>1850</v>
      </c>
      <c r="B169" t="s">
        <v>176</v>
      </c>
      <c r="C169" t="s">
        <v>8</v>
      </c>
      <c r="D169" t="s">
        <v>9</v>
      </c>
      <c r="E169">
        <v>0.95499324799999996</v>
      </c>
      <c r="F169">
        <v>4.5006819000000003E-2</v>
      </c>
      <c r="G169">
        <v>0.95499324799999996</v>
      </c>
      <c r="H169" t="b">
        <v>0</v>
      </c>
      <c r="I169" t="b">
        <v>0</v>
      </c>
      <c r="J169" t="b">
        <f t="shared" si="4"/>
        <v>0</v>
      </c>
      <c r="K169" t="b">
        <f t="shared" si="5"/>
        <v>0</v>
      </c>
    </row>
    <row r="170" spans="1:11" x14ac:dyDescent="0.3">
      <c r="A170">
        <v>2842</v>
      </c>
      <c r="B170" t="s">
        <v>177</v>
      </c>
      <c r="C170" t="s">
        <v>8</v>
      </c>
      <c r="D170" t="s">
        <v>9</v>
      </c>
      <c r="E170">
        <v>0.95491409299999996</v>
      </c>
      <c r="F170">
        <v>4.5085959000000002E-2</v>
      </c>
      <c r="G170">
        <v>0.95491409299999996</v>
      </c>
      <c r="H170" t="b">
        <v>1</v>
      </c>
      <c r="I170" t="b">
        <v>0</v>
      </c>
      <c r="J170" t="b">
        <f t="shared" si="4"/>
        <v>0</v>
      </c>
      <c r="K170" t="b">
        <f t="shared" si="5"/>
        <v>1</v>
      </c>
    </row>
    <row r="171" spans="1:11" x14ac:dyDescent="0.3">
      <c r="A171">
        <v>3518</v>
      </c>
      <c r="B171" t="s">
        <v>178</v>
      </c>
      <c r="C171" t="s">
        <v>8</v>
      </c>
      <c r="D171" t="s">
        <v>9</v>
      </c>
      <c r="E171">
        <v>0.954067051</v>
      </c>
      <c r="F171">
        <v>4.5932919000000003E-2</v>
      </c>
      <c r="G171">
        <v>0.954067051</v>
      </c>
      <c r="H171" t="b">
        <v>0</v>
      </c>
      <c r="I171" t="b">
        <v>1</v>
      </c>
      <c r="J171" t="b">
        <f t="shared" si="4"/>
        <v>0</v>
      </c>
      <c r="K171" t="b">
        <f t="shared" si="5"/>
        <v>1</v>
      </c>
    </row>
    <row r="172" spans="1:11" x14ac:dyDescent="0.3">
      <c r="A172">
        <v>4270</v>
      </c>
      <c r="B172" t="s">
        <v>179</v>
      </c>
      <c r="C172" t="s">
        <v>8</v>
      </c>
      <c r="D172" t="s">
        <v>9</v>
      </c>
      <c r="E172">
        <v>0.95406120999999999</v>
      </c>
      <c r="F172">
        <v>4.5938755999999997E-2</v>
      </c>
      <c r="G172">
        <v>0.95406120999999999</v>
      </c>
      <c r="H172" t="b">
        <v>1</v>
      </c>
      <c r="I172" t="b">
        <v>0</v>
      </c>
      <c r="J172" t="b">
        <f t="shared" si="4"/>
        <v>0</v>
      </c>
      <c r="K172" t="b">
        <f t="shared" si="5"/>
        <v>1</v>
      </c>
    </row>
    <row r="173" spans="1:11" x14ac:dyDescent="0.3">
      <c r="A173">
        <v>8743</v>
      </c>
      <c r="B173" t="s">
        <v>180</v>
      </c>
      <c r="C173" t="s">
        <v>8</v>
      </c>
      <c r="D173" t="s">
        <v>9</v>
      </c>
      <c r="E173">
        <v>0.95394283499999999</v>
      </c>
      <c r="F173">
        <v>4.6057201999999998E-2</v>
      </c>
      <c r="G173">
        <v>0.95394283499999999</v>
      </c>
      <c r="H173" t="b">
        <v>1</v>
      </c>
      <c r="I173" t="b">
        <v>0</v>
      </c>
      <c r="J173" t="b">
        <f t="shared" si="4"/>
        <v>0</v>
      </c>
      <c r="K173" t="b">
        <f t="shared" si="5"/>
        <v>1</v>
      </c>
    </row>
    <row r="174" spans="1:11" x14ac:dyDescent="0.3">
      <c r="A174">
        <v>588</v>
      </c>
      <c r="B174" t="s">
        <v>181</v>
      </c>
      <c r="C174" t="s">
        <v>8</v>
      </c>
      <c r="D174" t="s">
        <v>9</v>
      </c>
      <c r="E174">
        <v>0.95159190900000001</v>
      </c>
      <c r="F174">
        <v>4.8408076000000001E-2</v>
      </c>
      <c r="G174">
        <v>0.95159190900000001</v>
      </c>
      <c r="H174" t="b">
        <v>1</v>
      </c>
      <c r="I174" t="b">
        <v>0</v>
      </c>
      <c r="J174" t="b">
        <f t="shared" si="4"/>
        <v>0</v>
      </c>
      <c r="K174" t="b">
        <f t="shared" si="5"/>
        <v>1</v>
      </c>
    </row>
    <row r="175" spans="1:11" x14ac:dyDescent="0.3">
      <c r="A175">
        <v>7164</v>
      </c>
      <c r="B175" t="s">
        <v>182</v>
      </c>
      <c r="C175" t="s">
        <v>8</v>
      </c>
      <c r="D175" t="s">
        <v>9</v>
      </c>
      <c r="E175">
        <v>0.95105850700000005</v>
      </c>
      <c r="F175">
        <v>4.8941523000000001E-2</v>
      </c>
      <c r="G175">
        <v>0.95105850700000005</v>
      </c>
      <c r="H175" t="b">
        <v>1</v>
      </c>
      <c r="I175" t="b">
        <v>1</v>
      </c>
      <c r="J175" t="b">
        <f t="shared" si="4"/>
        <v>1</v>
      </c>
      <c r="K175" t="b">
        <f t="shared" si="5"/>
        <v>0</v>
      </c>
    </row>
    <row r="176" spans="1:11" x14ac:dyDescent="0.3">
      <c r="A176">
        <v>5909</v>
      </c>
      <c r="B176" t="s">
        <v>183</v>
      </c>
      <c r="C176" t="s">
        <v>8</v>
      </c>
      <c r="D176" t="s">
        <v>9</v>
      </c>
      <c r="E176">
        <v>0.95060735900000004</v>
      </c>
      <c r="F176">
        <v>4.9392682E-2</v>
      </c>
      <c r="G176">
        <v>0.95060735900000004</v>
      </c>
      <c r="H176" t="b">
        <v>1</v>
      </c>
      <c r="I176" t="b">
        <v>1</v>
      </c>
      <c r="J176" t="b">
        <f t="shared" si="4"/>
        <v>1</v>
      </c>
      <c r="K176" t="b">
        <f t="shared" si="5"/>
        <v>0</v>
      </c>
    </row>
    <row r="177" spans="1:11" x14ac:dyDescent="0.3">
      <c r="A177">
        <v>5363</v>
      </c>
      <c r="B177" t="s">
        <v>184</v>
      </c>
      <c r="C177" t="s">
        <v>8</v>
      </c>
      <c r="D177" t="s">
        <v>9</v>
      </c>
      <c r="E177">
        <v>0.95057576899999996</v>
      </c>
      <c r="F177">
        <v>4.9424239000000002E-2</v>
      </c>
      <c r="G177">
        <v>0.95057576899999996</v>
      </c>
      <c r="H177" t="b">
        <v>0</v>
      </c>
      <c r="I177" t="b">
        <v>0</v>
      </c>
      <c r="J177" t="b">
        <f t="shared" si="4"/>
        <v>0</v>
      </c>
      <c r="K177" t="b">
        <f t="shared" si="5"/>
        <v>0</v>
      </c>
    </row>
    <row r="178" spans="1:11" x14ac:dyDescent="0.3">
      <c r="A178">
        <v>8655</v>
      </c>
      <c r="B178" t="s">
        <v>185</v>
      </c>
      <c r="C178" t="s">
        <v>8</v>
      </c>
      <c r="D178" t="s">
        <v>9</v>
      </c>
      <c r="E178">
        <v>0.95052075400000002</v>
      </c>
      <c r="F178">
        <v>4.9479198000000002E-2</v>
      </c>
      <c r="G178">
        <v>0.95052075400000002</v>
      </c>
      <c r="H178" t="b">
        <v>1</v>
      </c>
      <c r="I178" t="b">
        <v>1</v>
      </c>
      <c r="J178" t="b">
        <f t="shared" si="4"/>
        <v>1</v>
      </c>
      <c r="K178" t="b">
        <f t="shared" si="5"/>
        <v>0</v>
      </c>
    </row>
    <row r="179" spans="1:11" x14ac:dyDescent="0.3">
      <c r="A179">
        <v>6723</v>
      </c>
      <c r="B179" t="s">
        <v>186</v>
      </c>
      <c r="C179" t="s">
        <v>8</v>
      </c>
      <c r="D179" t="s">
        <v>9</v>
      </c>
      <c r="E179">
        <v>0.94978958400000002</v>
      </c>
      <c r="F179">
        <v>5.0210480000000002E-2</v>
      </c>
      <c r="G179">
        <v>0.94978958400000002</v>
      </c>
      <c r="H179" t="b">
        <v>0</v>
      </c>
      <c r="I179" t="b">
        <v>0</v>
      </c>
      <c r="J179" t="b">
        <f t="shared" si="4"/>
        <v>0</v>
      </c>
      <c r="K179" t="b">
        <f t="shared" si="5"/>
        <v>0</v>
      </c>
    </row>
    <row r="180" spans="1:11" x14ac:dyDescent="0.3">
      <c r="A180">
        <v>5328</v>
      </c>
      <c r="B180" t="s">
        <v>187</v>
      </c>
      <c r="C180" t="s">
        <v>8</v>
      </c>
      <c r="D180" t="s">
        <v>9</v>
      </c>
      <c r="E180">
        <v>0.94774973399999995</v>
      </c>
      <c r="F180">
        <v>5.2250192000000001E-2</v>
      </c>
      <c r="G180">
        <v>0.94774973399999995</v>
      </c>
      <c r="H180" t="b">
        <v>1</v>
      </c>
      <c r="I180" t="b">
        <v>0</v>
      </c>
      <c r="J180" t="b">
        <f t="shared" si="4"/>
        <v>0</v>
      </c>
      <c r="K180" t="b">
        <f t="shared" si="5"/>
        <v>1</v>
      </c>
    </row>
    <row r="181" spans="1:11" x14ac:dyDescent="0.3">
      <c r="A181">
        <v>8769</v>
      </c>
      <c r="B181" t="s">
        <v>188</v>
      </c>
      <c r="C181" t="s">
        <v>8</v>
      </c>
      <c r="D181" t="s">
        <v>9</v>
      </c>
      <c r="E181">
        <v>0.94727188299999998</v>
      </c>
      <c r="F181">
        <v>5.2728083000000002E-2</v>
      </c>
      <c r="G181">
        <v>0.94727188299999998</v>
      </c>
      <c r="H181" t="b">
        <v>0</v>
      </c>
      <c r="I181" t="b">
        <v>0</v>
      </c>
      <c r="J181" t="b">
        <f t="shared" si="4"/>
        <v>0</v>
      </c>
      <c r="K181" t="b">
        <f t="shared" si="5"/>
        <v>0</v>
      </c>
    </row>
    <row r="182" spans="1:11" x14ac:dyDescent="0.3">
      <c r="A182">
        <v>4378</v>
      </c>
      <c r="B182" t="s">
        <v>189</v>
      </c>
      <c r="C182" t="s">
        <v>8</v>
      </c>
      <c r="D182" t="s">
        <v>9</v>
      </c>
      <c r="E182">
        <v>0.94696134300000001</v>
      </c>
      <c r="F182">
        <v>5.3038663999999999E-2</v>
      </c>
      <c r="G182">
        <v>0.94696134300000001</v>
      </c>
      <c r="H182" t="b">
        <v>1</v>
      </c>
      <c r="I182" t="b">
        <v>1</v>
      </c>
      <c r="J182" t="b">
        <f t="shared" si="4"/>
        <v>1</v>
      </c>
      <c r="K182" t="b">
        <f t="shared" si="5"/>
        <v>0</v>
      </c>
    </row>
    <row r="183" spans="1:11" x14ac:dyDescent="0.3">
      <c r="A183">
        <v>10063</v>
      </c>
      <c r="B183" t="s">
        <v>190</v>
      </c>
      <c r="C183" t="s">
        <v>8</v>
      </c>
      <c r="D183" t="s">
        <v>9</v>
      </c>
      <c r="E183">
        <v>0.94676387299999998</v>
      </c>
      <c r="F183">
        <v>5.3236194000000001E-2</v>
      </c>
      <c r="G183">
        <v>0.94676387299999998</v>
      </c>
      <c r="H183" t="b">
        <v>1</v>
      </c>
      <c r="I183" t="b">
        <v>1</v>
      </c>
      <c r="J183" t="b">
        <f t="shared" si="4"/>
        <v>1</v>
      </c>
      <c r="K183" t="b">
        <f t="shared" si="5"/>
        <v>0</v>
      </c>
    </row>
    <row r="184" spans="1:11" x14ac:dyDescent="0.3">
      <c r="A184">
        <v>1158</v>
      </c>
      <c r="B184" t="s">
        <v>191</v>
      </c>
      <c r="C184" t="s">
        <v>8</v>
      </c>
      <c r="D184" t="s">
        <v>9</v>
      </c>
      <c r="E184">
        <v>0.94623178200000002</v>
      </c>
      <c r="F184">
        <v>5.3768220999999998E-2</v>
      </c>
      <c r="G184">
        <v>0.94623178200000002</v>
      </c>
      <c r="H184" t="b">
        <v>1</v>
      </c>
      <c r="I184" t="b">
        <v>0</v>
      </c>
      <c r="J184" t="b">
        <f t="shared" si="4"/>
        <v>0</v>
      </c>
      <c r="K184" t="b">
        <f t="shared" si="5"/>
        <v>1</v>
      </c>
    </row>
    <row r="185" spans="1:11" x14ac:dyDescent="0.3">
      <c r="A185">
        <v>10119</v>
      </c>
      <c r="B185" t="s">
        <v>192</v>
      </c>
      <c r="C185" t="s">
        <v>8</v>
      </c>
      <c r="D185" t="s">
        <v>9</v>
      </c>
      <c r="E185">
        <v>0.94527846599999998</v>
      </c>
      <c r="F185">
        <v>5.4721552999999999E-2</v>
      </c>
      <c r="G185">
        <v>0.94527846599999998</v>
      </c>
      <c r="H185" t="b">
        <v>0</v>
      </c>
      <c r="I185" t="b">
        <v>0</v>
      </c>
      <c r="J185" t="b">
        <f t="shared" si="4"/>
        <v>0</v>
      </c>
      <c r="K185" t="b">
        <f t="shared" si="5"/>
        <v>0</v>
      </c>
    </row>
    <row r="186" spans="1:11" x14ac:dyDescent="0.3">
      <c r="A186">
        <v>5548</v>
      </c>
      <c r="B186" t="s">
        <v>193</v>
      </c>
      <c r="C186" t="s">
        <v>8</v>
      </c>
      <c r="D186" t="s">
        <v>9</v>
      </c>
      <c r="E186">
        <v>0.94520539000000003</v>
      </c>
      <c r="F186">
        <v>5.4794565000000003E-2</v>
      </c>
      <c r="G186">
        <v>0.94520539000000003</v>
      </c>
      <c r="H186" t="b">
        <v>1</v>
      </c>
      <c r="I186" t="b">
        <v>1</v>
      </c>
      <c r="J186" t="b">
        <f t="shared" si="4"/>
        <v>1</v>
      </c>
      <c r="K186" t="b">
        <f t="shared" si="5"/>
        <v>0</v>
      </c>
    </row>
    <row r="187" spans="1:11" x14ac:dyDescent="0.3">
      <c r="A187">
        <v>8615</v>
      </c>
      <c r="B187" t="s">
        <v>194</v>
      </c>
      <c r="C187" t="s">
        <v>8</v>
      </c>
      <c r="D187" t="s">
        <v>9</v>
      </c>
      <c r="E187">
        <v>0.94499605900000005</v>
      </c>
      <c r="F187">
        <v>5.5003921999999997E-2</v>
      </c>
      <c r="G187">
        <v>0.94499605900000005</v>
      </c>
      <c r="H187" t="b">
        <v>0</v>
      </c>
      <c r="I187" t="b">
        <v>1</v>
      </c>
      <c r="J187" t="b">
        <f t="shared" si="4"/>
        <v>0</v>
      </c>
      <c r="K187" t="b">
        <f t="shared" si="5"/>
        <v>1</v>
      </c>
    </row>
    <row r="188" spans="1:11" x14ac:dyDescent="0.3">
      <c r="A188">
        <v>3459</v>
      </c>
      <c r="B188" t="s">
        <v>195</v>
      </c>
      <c r="C188" t="s">
        <v>8</v>
      </c>
      <c r="D188" t="s">
        <v>9</v>
      </c>
      <c r="E188">
        <v>0.94466030599999995</v>
      </c>
      <c r="F188">
        <v>5.5339712999999999E-2</v>
      </c>
      <c r="G188">
        <v>0.94466030599999995</v>
      </c>
      <c r="H188" t="b">
        <v>1</v>
      </c>
      <c r="I188" t="b">
        <v>0</v>
      </c>
      <c r="J188" t="b">
        <f t="shared" si="4"/>
        <v>0</v>
      </c>
      <c r="K188" t="b">
        <f t="shared" si="5"/>
        <v>1</v>
      </c>
    </row>
    <row r="189" spans="1:11" x14ac:dyDescent="0.3">
      <c r="A189">
        <v>8685</v>
      </c>
      <c r="B189" t="s">
        <v>196</v>
      </c>
      <c r="C189" t="s">
        <v>8</v>
      </c>
      <c r="D189" t="s">
        <v>9</v>
      </c>
      <c r="E189">
        <v>0.94455826300000001</v>
      </c>
      <c r="F189">
        <v>5.5441741000000003E-2</v>
      </c>
      <c r="G189">
        <v>0.94455826300000001</v>
      </c>
      <c r="H189" t="b">
        <v>1</v>
      </c>
      <c r="I189" t="b">
        <v>1</v>
      </c>
      <c r="J189" t="b">
        <f t="shared" si="4"/>
        <v>1</v>
      </c>
      <c r="K189" t="b">
        <f t="shared" si="5"/>
        <v>0</v>
      </c>
    </row>
    <row r="190" spans="1:11" x14ac:dyDescent="0.3">
      <c r="A190">
        <v>348</v>
      </c>
      <c r="B190" t="s">
        <v>197</v>
      </c>
      <c r="C190" t="s">
        <v>8</v>
      </c>
      <c r="D190" t="s">
        <v>9</v>
      </c>
      <c r="E190">
        <v>0.94389665099999998</v>
      </c>
      <c r="F190">
        <v>5.6103271000000003E-2</v>
      </c>
      <c r="G190">
        <v>0.94389665099999998</v>
      </c>
      <c r="H190" t="b">
        <v>0</v>
      </c>
      <c r="I190" t="b">
        <v>0</v>
      </c>
      <c r="J190" t="b">
        <f t="shared" si="4"/>
        <v>0</v>
      </c>
      <c r="K190" t="b">
        <f t="shared" si="5"/>
        <v>0</v>
      </c>
    </row>
    <row r="191" spans="1:11" x14ac:dyDescent="0.3">
      <c r="A191">
        <v>6375</v>
      </c>
      <c r="B191" t="s">
        <v>198</v>
      </c>
      <c r="C191" t="s">
        <v>8</v>
      </c>
      <c r="D191" t="s">
        <v>9</v>
      </c>
      <c r="E191">
        <v>0.94371479700000005</v>
      </c>
      <c r="F191">
        <v>5.6285169000000003E-2</v>
      </c>
      <c r="G191">
        <v>0.94371479700000005</v>
      </c>
      <c r="H191" t="b">
        <v>0</v>
      </c>
      <c r="I191" t="b">
        <v>0</v>
      </c>
      <c r="J191" t="b">
        <f t="shared" si="4"/>
        <v>0</v>
      </c>
      <c r="K191" t="b">
        <f t="shared" si="5"/>
        <v>0</v>
      </c>
    </row>
    <row r="192" spans="1:11" x14ac:dyDescent="0.3">
      <c r="A192">
        <v>6374</v>
      </c>
      <c r="B192" t="s">
        <v>199</v>
      </c>
      <c r="C192" t="s">
        <v>8</v>
      </c>
      <c r="D192" t="s">
        <v>9</v>
      </c>
      <c r="E192">
        <v>0.94371342700000005</v>
      </c>
      <c r="F192">
        <v>5.6286602999999998E-2</v>
      </c>
      <c r="G192">
        <v>0.94371342700000005</v>
      </c>
      <c r="H192" t="b">
        <v>1</v>
      </c>
      <c r="I192" t="b">
        <v>0</v>
      </c>
      <c r="J192" t="b">
        <f t="shared" si="4"/>
        <v>0</v>
      </c>
      <c r="K192" t="b">
        <f t="shared" si="5"/>
        <v>1</v>
      </c>
    </row>
    <row r="193" spans="1:11" x14ac:dyDescent="0.3">
      <c r="A193">
        <v>8813</v>
      </c>
      <c r="B193" t="s">
        <v>200</v>
      </c>
      <c r="C193" t="s">
        <v>8</v>
      </c>
      <c r="D193" t="s">
        <v>9</v>
      </c>
      <c r="E193">
        <v>0.94358825700000004</v>
      </c>
      <c r="F193">
        <v>5.641181E-2</v>
      </c>
      <c r="G193">
        <v>0.94358825700000004</v>
      </c>
      <c r="H193" t="b">
        <v>0</v>
      </c>
      <c r="I193" t="b">
        <v>0</v>
      </c>
      <c r="J193" t="b">
        <f t="shared" si="4"/>
        <v>0</v>
      </c>
      <c r="K193" t="b">
        <f t="shared" si="5"/>
        <v>0</v>
      </c>
    </row>
    <row r="194" spans="1:11" x14ac:dyDescent="0.3">
      <c r="A194">
        <v>4289</v>
      </c>
      <c r="B194" t="s">
        <v>201</v>
      </c>
      <c r="C194" t="s">
        <v>8</v>
      </c>
      <c r="D194" t="s">
        <v>9</v>
      </c>
      <c r="E194">
        <v>0.94298017000000001</v>
      </c>
      <c r="F194">
        <v>5.7019893000000002E-2</v>
      </c>
      <c r="G194">
        <v>0.94298017000000001</v>
      </c>
      <c r="H194" t="b">
        <v>0</v>
      </c>
      <c r="I194" t="b">
        <v>0</v>
      </c>
      <c r="J194" t="b">
        <f t="shared" si="4"/>
        <v>0</v>
      </c>
      <c r="K194" t="b">
        <f t="shared" si="5"/>
        <v>0</v>
      </c>
    </row>
    <row r="195" spans="1:11" x14ac:dyDescent="0.3">
      <c r="A195">
        <v>6408</v>
      </c>
      <c r="B195" t="s">
        <v>202</v>
      </c>
      <c r="C195" t="s">
        <v>8</v>
      </c>
      <c r="D195" t="s">
        <v>9</v>
      </c>
      <c r="E195">
        <v>0.94252771099999999</v>
      </c>
      <c r="F195">
        <v>5.7472217999999999E-2</v>
      </c>
      <c r="G195">
        <v>0.94252771099999999</v>
      </c>
      <c r="H195" t="b">
        <v>1</v>
      </c>
      <c r="I195" t="b">
        <v>1</v>
      </c>
      <c r="J195" t="b">
        <f t="shared" ref="J195:J258" si="6">AND(H195:I195)</f>
        <v>1</v>
      </c>
      <c r="K195" t="b">
        <f t="shared" ref="K195:K258" si="7">NOT(H195=I195)</f>
        <v>0</v>
      </c>
    </row>
    <row r="196" spans="1:11" x14ac:dyDescent="0.3">
      <c r="A196">
        <v>1142</v>
      </c>
      <c r="B196" t="s">
        <v>203</v>
      </c>
      <c r="C196" t="s">
        <v>8</v>
      </c>
      <c r="D196" t="s">
        <v>9</v>
      </c>
      <c r="E196">
        <v>0.94203478100000004</v>
      </c>
      <c r="F196">
        <v>5.7965185000000002E-2</v>
      </c>
      <c r="G196">
        <v>0.94203478100000004</v>
      </c>
      <c r="H196" t="b">
        <v>1</v>
      </c>
      <c r="I196" t="b">
        <v>1</v>
      </c>
      <c r="J196" t="b">
        <f t="shared" si="6"/>
        <v>1</v>
      </c>
      <c r="K196" t="b">
        <f t="shared" si="7"/>
        <v>0</v>
      </c>
    </row>
    <row r="197" spans="1:11" x14ac:dyDescent="0.3">
      <c r="A197">
        <v>7042</v>
      </c>
      <c r="B197" t="s">
        <v>204</v>
      </c>
      <c r="C197" t="s">
        <v>8</v>
      </c>
      <c r="D197" t="s">
        <v>9</v>
      </c>
      <c r="E197">
        <v>0.94190090900000001</v>
      </c>
      <c r="F197">
        <v>5.8099099000000001E-2</v>
      </c>
      <c r="G197">
        <v>0.94190090900000001</v>
      </c>
      <c r="H197" t="b">
        <v>0</v>
      </c>
      <c r="I197" t="b">
        <v>1</v>
      </c>
      <c r="J197" t="b">
        <f t="shared" si="6"/>
        <v>0</v>
      </c>
      <c r="K197" t="b">
        <f t="shared" si="7"/>
        <v>1</v>
      </c>
    </row>
    <row r="198" spans="1:11" x14ac:dyDescent="0.3">
      <c r="A198">
        <v>5437</v>
      </c>
      <c r="B198" t="s">
        <v>205</v>
      </c>
      <c r="C198" t="s">
        <v>8</v>
      </c>
      <c r="D198" t="s">
        <v>9</v>
      </c>
      <c r="E198">
        <v>0.94144773500000001</v>
      </c>
      <c r="F198">
        <v>5.8552299000000002E-2</v>
      </c>
      <c r="G198">
        <v>0.94144773500000001</v>
      </c>
      <c r="H198" t="b">
        <v>1</v>
      </c>
      <c r="I198" t="b">
        <v>0</v>
      </c>
      <c r="J198" t="b">
        <f t="shared" si="6"/>
        <v>0</v>
      </c>
      <c r="K198" t="b">
        <f t="shared" si="7"/>
        <v>1</v>
      </c>
    </row>
    <row r="199" spans="1:11" x14ac:dyDescent="0.3">
      <c r="A199">
        <v>6626</v>
      </c>
      <c r="B199" t="s">
        <v>206</v>
      </c>
      <c r="C199" t="s">
        <v>8</v>
      </c>
      <c r="D199" t="s">
        <v>9</v>
      </c>
      <c r="E199">
        <v>0.941362798</v>
      </c>
      <c r="F199">
        <v>5.8637172000000001E-2</v>
      </c>
      <c r="G199">
        <v>0.941362798</v>
      </c>
      <c r="H199" t="b">
        <v>0</v>
      </c>
      <c r="I199" t="b">
        <v>0</v>
      </c>
      <c r="J199" t="b">
        <f t="shared" si="6"/>
        <v>0</v>
      </c>
      <c r="K199" t="b">
        <f t="shared" si="7"/>
        <v>0</v>
      </c>
    </row>
    <row r="200" spans="1:11" x14ac:dyDescent="0.3">
      <c r="A200">
        <v>312</v>
      </c>
      <c r="B200" t="s">
        <v>207</v>
      </c>
      <c r="C200" t="s">
        <v>8</v>
      </c>
      <c r="D200" t="s">
        <v>9</v>
      </c>
      <c r="E200">
        <v>0.93990552400000005</v>
      </c>
      <c r="F200">
        <v>6.0094446000000003E-2</v>
      </c>
      <c r="G200">
        <v>0.93990552400000005</v>
      </c>
      <c r="H200" t="b">
        <v>0</v>
      </c>
      <c r="I200" t="b">
        <v>1</v>
      </c>
      <c r="J200" t="b">
        <f t="shared" si="6"/>
        <v>0</v>
      </c>
      <c r="K200" t="b">
        <f t="shared" si="7"/>
        <v>1</v>
      </c>
    </row>
    <row r="201" spans="1:11" x14ac:dyDescent="0.3">
      <c r="A201">
        <v>2832</v>
      </c>
      <c r="B201" t="s">
        <v>208</v>
      </c>
      <c r="C201" t="s">
        <v>8</v>
      </c>
      <c r="D201" t="s">
        <v>9</v>
      </c>
      <c r="E201">
        <v>0.93968600000000002</v>
      </c>
      <c r="F201">
        <v>6.0313970000000001E-2</v>
      </c>
      <c r="G201">
        <v>0.93968600000000002</v>
      </c>
      <c r="H201" t="b">
        <v>1</v>
      </c>
      <c r="I201" t="b">
        <v>0</v>
      </c>
      <c r="J201" t="b">
        <f t="shared" si="6"/>
        <v>0</v>
      </c>
      <c r="K201" t="b">
        <f t="shared" si="7"/>
        <v>1</v>
      </c>
    </row>
    <row r="202" spans="1:11" x14ac:dyDescent="0.3">
      <c r="A202">
        <v>6725</v>
      </c>
      <c r="B202" t="s">
        <v>209</v>
      </c>
      <c r="C202" t="s">
        <v>8</v>
      </c>
      <c r="D202" t="s">
        <v>9</v>
      </c>
      <c r="E202">
        <v>0.93913769700000005</v>
      </c>
      <c r="F202">
        <v>6.0862268999999997E-2</v>
      </c>
      <c r="G202">
        <v>0.93913769700000005</v>
      </c>
      <c r="H202" t="b">
        <v>1</v>
      </c>
      <c r="I202" t="b">
        <v>0</v>
      </c>
      <c r="J202" t="b">
        <f t="shared" si="6"/>
        <v>0</v>
      </c>
      <c r="K202" t="b">
        <f t="shared" si="7"/>
        <v>1</v>
      </c>
    </row>
    <row r="203" spans="1:11" x14ac:dyDescent="0.3">
      <c r="A203">
        <v>6732</v>
      </c>
      <c r="B203" t="s">
        <v>210</v>
      </c>
      <c r="C203" t="s">
        <v>8</v>
      </c>
      <c r="D203" t="s">
        <v>9</v>
      </c>
      <c r="E203">
        <v>0.93793958399999999</v>
      </c>
      <c r="F203">
        <v>6.2060448999999997E-2</v>
      </c>
      <c r="G203">
        <v>0.93793958399999999</v>
      </c>
      <c r="H203" t="b">
        <v>1</v>
      </c>
      <c r="I203" t="b">
        <v>1</v>
      </c>
      <c r="J203" t="b">
        <f t="shared" si="6"/>
        <v>1</v>
      </c>
      <c r="K203" t="b">
        <f t="shared" si="7"/>
        <v>0</v>
      </c>
    </row>
    <row r="204" spans="1:11" x14ac:dyDescent="0.3">
      <c r="A204">
        <v>7471</v>
      </c>
      <c r="B204" t="s">
        <v>211</v>
      </c>
      <c r="C204" t="s">
        <v>8</v>
      </c>
      <c r="D204" t="s">
        <v>9</v>
      </c>
      <c r="E204">
        <v>0.937543511</v>
      </c>
      <c r="F204">
        <v>6.2456455000000001E-2</v>
      </c>
      <c r="G204">
        <v>0.937543511</v>
      </c>
      <c r="H204" t="b">
        <v>1</v>
      </c>
      <c r="I204" t="b">
        <v>1</v>
      </c>
      <c r="J204" t="b">
        <f t="shared" si="6"/>
        <v>1</v>
      </c>
      <c r="K204" t="b">
        <f t="shared" si="7"/>
        <v>0</v>
      </c>
    </row>
    <row r="205" spans="1:11" x14ac:dyDescent="0.3">
      <c r="A205">
        <v>9787</v>
      </c>
      <c r="B205" t="s">
        <v>212</v>
      </c>
      <c r="C205" t="s">
        <v>8</v>
      </c>
      <c r="D205" t="s">
        <v>9</v>
      </c>
      <c r="E205">
        <v>0.93672126499999997</v>
      </c>
      <c r="F205">
        <v>6.3278712000000001E-2</v>
      </c>
      <c r="G205">
        <v>0.93672126499999997</v>
      </c>
      <c r="H205" t="b">
        <v>0</v>
      </c>
      <c r="I205" t="b">
        <v>1</v>
      </c>
      <c r="J205" t="b">
        <f t="shared" si="6"/>
        <v>0</v>
      </c>
      <c r="K205" t="b">
        <f t="shared" si="7"/>
        <v>1</v>
      </c>
    </row>
    <row r="206" spans="1:11" x14ac:dyDescent="0.3">
      <c r="A206">
        <v>9786</v>
      </c>
      <c r="B206" t="s">
        <v>213</v>
      </c>
      <c r="C206" t="s">
        <v>8</v>
      </c>
      <c r="D206" t="s">
        <v>9</v>
      </c>
      <c r="E206">
        <v>0.93532037700000004</v>
      </c>
      <c r="F206">
        <v>6.4679623000000006E-2</v>
      </c>
      <c r="G206">
        <v>0.93532037700000004</v>
      </c>
      <c r="H206" t="b">
        <v>1</v>
      </c>
      <c r="I206" t="b">
        <v>1</v>
      </c>
      <c r="J206" t="b">
        <f t="shared" si="6"/>
        <v>1</v>
      </c>
      <c r="K206" t="b">
        <f t="shared" si="7"/>
        <v>0</v>
      </c>
    </row>
    <row r="207" spans="1:11" x14ac:dyDescent="0.3">
      <c r="A207">
        <v>8004</v>
      </c>
      <c r="B207" t="s">
        <v>214</v>
      </c>
      <c r="C207" t="s">
        <v>8</v>
      </c>
      <c r="D207" t="s">
        <v>9</v>
      </c>
      <c r="E207">
        <v>0.93466001700000001</v>
      </c>
      <c r="F207">
        <v>6.5340019999999999E-2</v>
      </c>
      <c r="G207">
        <v>0.93466001700000001</v>
      </c>
      <c r="H207" t="b">
        <v>1</v>
      </c>
      <c r="I207" t="b">
        <v>1</v>
      </c>
      <c r="J207" t="b">
        <f t="shared" si="6"/>
        <v>1</v>
      </c>
      <c r="K207" t="b">
        <f t="shared" si="7"/>
        <v>0</v>
      </c>
    </row>
    <row r="208" spans="1:11" x14ac:dyDescent="0.3">
      <c r="A208">
        <v>7078</v>
      </c>
      <c r="B208" t="s">
        <v>215</v>
      </c>
      <c r="C208" t="s">
        <v>8</v>
      </c>
      <c r="D208" t="s">
        <v>9</v>
      </c>
      <c r="E208">
        <v>0.93362098900000001</v>
      </c>
      <c r="F208">
        <v>6.6379047999999996E-2</v>
      </c>
      <c r="G208">
        <v>0.93362098900000001</v>
      </c>
      <c r="H208" t="b">
        <v>0</v>
      </c>
      <c r="I208" t="b">
        <v>1</v>
      </c>
      <c r="J208" t="b">
        <f t="shared" si="6"/>
        <v>0</v>
      </c>
      <c r="K208" t="b">
        <f t="shared" si="7"/>
        <v>1</v>
      </c>
    </row>
    <row r="209" spans="1:11" x14ac:dyDescent="0.3">
      <c r="A209">
        <v>77</v>
      </c>
      <c r="B209" t="s">
        <v>216</v>
      </c>
      <c r="C209" t="s">
        <v>8</v>
      </c>
      <c r="D209" t="s">
        <v>9</v>
      </c>
      <c r="E209">
        <v>0.93290382599999999</v>
      </c>
      <c r="F209">
        <v>6.7096143999999996E-2</v>
      </c>
      <c r="G209">
        <v>0.93290382599999999</v>
      </c>
      <c r="H209" t="b">
        <v>1</v>
      </c>
      <c r="I209" t="b">
        <v>0</v>
      </c>
      <c r="J209" t="b">
        <f t="shared" si="6"/>
        <v>0</v>
      </c>
      <c r="K209" t="b">
        <f t="shared" si="7"/>
        <v>1</v>
      </c>
    </row>
    <row r="210" spans="1:11" x14ac:dyDescent="0.3">
      <c r="A210">
        <v>2090</v>
      </c>
      <c r="B210" t="s">
        <v>217</v>
      </c>
      <c r="C210" t="s">
        <v>8</v>
      </c>
      <c r="D210" t="s">
        <v>9</v>
      </c>
      <c r="E210">
        <v>0.93233305200000005</v>
      </c>
      <c r="F210">
        <v>6.7666948000000005E-2</v>
      </c>
      <c r="G210">
        <v>0.93233305200000005</v>
      </c>
      <c r="H210" t="b">
        <v>0</v>
      </c>
      <c r="I210" t="b">
        <v>1</v>
      </c>
      <c r="J210" t="b">
        <f t="shared" si="6"/>
        <v>0</v>
      </c>
      <c r="K210" t="b">
        <f t="shared" si="7"/>
        <v>1</v>
      </c>
    </row>
    <row r="211" spans="1:11" x14ac:dyDescent="0.3">
      <c r="A211">
        <v>8737</v>
      </c>
      <c r="B211" t="s">
        <v>218</v>
      </c>
      <c r="C211" t="s">
        <v>8</v>
      </c>
      <c r="D211" t="s">
        <v>9</v>
      </c>
      <c r="E211">
        <v>0.93215972199999997</v>
      </c>
      <c r="F211">
        <v>6.7840286E-2</v>
      </c>
      <c r="G211">
        <v>0.93215972199999997</v>
      </c>
      <c r="H211" t="b">
        <v>1</v>
      </c>
      <c r="I211" t="b">
        <v>1</v>
      </c>
      <c r="J211" t="b">
        <f t="shared" si="6"/>
        <v>1</v>
      </c>
      <c r="K211" t="b">
        <f t="shared" si="7"/>
        <v>0</v>
      </c>
    </row>
    <row r="212" spans="1:11" x14ac:dyDescent="0.3">
      <c r="A212">
        <v>9962</v>
      </c>
      <c r="B212" t="s">
        <v>219</v>
      </c>
      <c r="C212" t="s">
        <v>8</v>
      </c>
      <c r="D212" t="s">
        <v>9</v>
      </c>
      <c r="E212">
        <v>0.93209034199999996</v>
      </c>
      <c r="F212">
        <v>6.7909628E-2</v>
      </c>
      <c r="G212">
        <v>0.93209034199999996</v>
      </c>
      <c r="H212" t="b">
        <v>0</v>
      </c>
      <c r="I212" t="b">
        <v>0</v>
      </c>
      <c r="J212" t="b">
        <f t="shared" si="6"/>
        <v>0</v>
      </c>
      <c r="K212" t="b">
        <f t="shared" si="7"/>
        <v>0</v>
      </c>
    </row>
    <row r="213" spans="1:11" x14ac:dyDescent="0.3">
      <c r="A213">
        <v>1572</v>
      </c>
      <c r="B213" t="s">
        <v>220</v>
      </c>
      <c r="C213" t="s">
        <v>8</v>
      </c>
      <c r="D213" t="s">
        <v>9</v>
      </c>
      <c r="E213">
        <v>0.931982219</v>
      </c>
      <c r="F213">
        <v>6.8017773000000004E-2</v>
      </c>
      <c r="G213">
        <v>0.931982219</v>
      </c>
      <c r="H213" t="b">
        <v>1</v>
      </c>
      <c r="I213" t="b">
        <v>0</v>
      </c>
      <c r="J213" t="b">
        <f t="shared" si="6"/>
        <v>0</v>
      </c>
      <c r="K213" t="b">
        <f t="shared" si="7"/>
        <v>1</v>
      </c>
    </row>
    <row r="214" spans="1:11" x14ac:dyDescent="0.3">
      <c r="A214">
        <v>2865</v>
      </c>
      <c r="B214" t="s">
        <v>221</v>
      </c>
      <c r="C214" t="s">
        <v>8</v>
      </c>
      <c r="D214" t="s">
        <v>9</v>
      </c>
      <c r="E214">
        <v>0.93174415799999999</v>
      </c>
      <c r="F214">
        <v>6.8255834000000001E-2</v>
      </c>
      <c r="G214">
        <v>0.93174415799999999</v>
      </c>
      <c r="H214" t="b">
        <v>0</v>
      </c>
      <c r="I214" t="b">
        <v>0</v>
      </c>
      <c r="J214" t="b">
        <f t="shared" si="6"/>
        <v>0</v>
      </c>
      <c r="K214" t="b">
        <f t="shared" si="7"/>
        <v>0</v>
      </c>
    </row>
    <row r="215" spans="1:11" x14ac:dyDescent="0.3">
      <c r="A215">
        <v>10275</v>
      </c>
      <c r="B215" t="s">
        <v>222</v>
      </c>
      <c r="C215" t="s">
        <v>8</v>
      </c>
      <c r="D215" t="s">
        <v>9</v>
      </c>
      <c r="E215">
        <v>0.93106967200000001</v>
      </c>
      <c r="F215">
        <v>6.8930395000000005E-2</v>
      </c>
      <c r="G215">
        <v>0.93106967200000001</v>
      </c>
      <c r="H215" t="b">
        <v>1</v>
      </c>
      <c r="I215" t="b">
        <v>1</v>
      </c>
      <c r="J215" t="b">
        <f t="shared" si="6"/>
        <v>1</v>
      </c>
      <c r="K215" t="b">
        <f t="shared" si="7"/>
        <v>0</v>
      </c>
    </row>
    <row r="216" spans="1:11" x14ac:dyDescent="0.3">
      <c r="A216">
        <v>10502</v>
      </c>
      <c r="B216" t="s">
        <v>223</v>
      </c>
      <c r="C216" t="s">
        <v>8</v>
      </c>
      <c r="D216" t="s">
        <v>9</v>
      </c>
      <c r="E216">
        <v>0.93104606899999998</v>
      </c>
      <c r="F216">
        <v>6.8953848999999998E-2</v>
      </c>
      <c r="G216">
        <v>0.93104606899999998</v>
      </c>
      <c r="H216" t="b">
        <v>1</v>
      </c>
      <c r="I216" t="b">
        <v>0</v>
      </c>
      <c r="J216" t="b">
        <f t="shared" si="6"/>
        <v>0</v>
      </c>
      <c r="K216" t="b">
        <f t="shared" si="7"/>
        <v>1</v>
      </c>
    </row>
    <row r="217" spans="1:11" x14ac:dyDescent="0.3">
      <c r="A217">
        <v>8135</v>
      </c>
      <c r="B217" t="s">
        <v>224</v>
      </c>
      <c r="C217" t="s">
        <v>8</v>
      </c>
      <c r="D217" t="s">
        <v>9</v>
      </c>
      <c r="E217">
        <v>0.93095165499999999</v>
      </c>
      <c r="F217">
        <v>6.9048390000000001E-2</v>
      </c>
      <c r="G217">
        <v>0.93095165499999999</v>
      </c>
      <c r="H217" t="b">
        <v>0</v>
      </c>
      <c r="I217" t="b">
        <v>0</v>
      </c>
      <c r="J217" t="b">
        <f t="shared" si="6"/>
        <v>0</v>
      </c>
      <c r="K217" t="b">
        <f t="shared" si="7"/>
        <v>0</v>
      </c>
    </row>
    <row r="218" spans="1:11" x14ac:dyDescent="0.3">
      <c r="A218">
        <v>7935</v>
      </c>
      <c r="B218" t="s">
        <v>225</v>
      </c>
      <c r="C218" t="s">
        <v>8</v>
      </c>
      <c r="D218" t="s">
        <v>9</v>
      </c>
      <c r="E218">
        <v>0.93082034599999997</v>
      </c>
      <c r="F218">
        <v>6.9179653999999993E-2</v>
      </c>
      <c r="G218">
        <v>0.93082034599999997</v>
      </c>
      <c r="H218" t="b">
        <v>0</v>
      </c>
      <c r="I218" t="b">
        <v>1</v>
      </c>
      <c r="J218" t="b">
        <f t="shared" si="6"/>
        <v>0</v>
      </c>
      <c r="K218" t="b">
        <f t="shared" si="7"/>
        <v>1</v>
      </c>
    </row>
    <row r="219" spans="1:11" x14ac:dyDescent="0.3">
      <c r="A219">
        <v>3022</v>
      </c>
      <c r="B219" t="s">
        <v>226</v>
      </c>
      <c r="C219" t="s">
        <v>8</v>
      </c>
      <c r="D219" t="s">
        <v>9</v>
      </c>
      <c r="E219">
        <v>0.93055713200000001</v>
      </c>
      <c r="F219">
        <v>6.9442794000000002E-2</v>
      </c>
      <c r="G219">
        <v>0.93055713200000001</v>
      </c>
      <c r="H219" t="b">
        <v>0</v>
      </c>
      <c r="I219" t="b">
        <v>0</v>
      </c>
      <c r="J219" t="b">
        <f t="shared" si="6"/>
        <v>0</v>
      </c>
      <c r="K219" t="b">
        <f t="shared" si="7"/>
        <v>0</v>
      </c>
    </row>
    <row r="220" spans="1:11" x14ac:dyDescent="0.3">
      <c r="A220">
        <v>8832</v>
      </c>
      <c r="B220" t="s">
        <v>227</v>
      </c>
      <c r="C220" t="s">
        <v>8</v>
      </c>
      <c r="D220" t="s">
        <v>9</v>
      </c>
      <c r="E220">
        <v>0.92958474199999996</v>
      </c>
      <c r="F220">
        <v>7.0415221E-2</v>
      </c>
      <c r="G220">
        <v>0.92958474199999996</v>
      </c>
      <c r="H220" t="b">
        <v>0</v>
      </c>
      <c r="I220" t="b">
        <v>0</v>
      </c>
      <c r="J220" t="b">
        <f t="shared" si="6"/>
        <v>0</v>
      </c>
      <c r="K220" t="b">
        <f t="shared" si="7"/>
        <v>0</v>
      </c>
    </row>
    <row r="221" spans="1:11" x14ac:dyDescent="0.3">
      <c r="A221">
        <v>6714</v>
      </c>
      <c r="B221" t="s">
        <v>228</v>
      </c>
      <c r="C221" t="s">
        <v>8</v>
      </c>
      <c r="D221" t="s">
        <v>9</v>
      </c>
      <c r="E221">
        <v>0.92879068899999995</v>
      </c>
      <c r="F221">
        <v>7.1209288999999995E-2</v>
      </c>
      <c r="G221">
        <v>0.92879068899999995</v>
      </c>
      <c r="H221" t="b">
        <v>1</v>
      </c>
      <c r="I221" t="b">
        <v>0</v>
      </c>
      <c r="J221" t="b">
        <f t="shared" si="6"/>
        <v>0</v>
      </c>
      <c r="K221" t="b">
        <f t="shared" si="7"/>
        <v>1</v>
      </c>
    </row>
    <row r="222" spans="1:11" x14ac:dyDescent="0.3">
      <c r="A222">
        <v>3529</v>
      </c>
      <c r="B222" t="s">
        <v>229</v>
      </c>
      <c r="C222" t="s">
        <v>8</v>
      </c>
      <c r="D222" t="s">
        <v>9</v>
      </c>
      <c r="E222">
        <v>0.92729467200000004</v>
      </c>
      <c r="F222">
        <v>7.2705299000000001E-2</v>
      </c>
      <c r="G222">
        <v>0.92729467200000004</v>
      </c>
      <c r="H222" t="b">
        <v>0</v>
      </c>
      <c r="I222" t="b">
        <v>0</v>
      </c>
      <c r="J222" t="b">
        <f t="shared" si="6"/>
        <v>0</v>
      </c>
      <c r="K222" t="b">
        <f t="shared" si="7"/>
        <v>0</v>
      </c>
    </row>
    <row r="223" spans="1:11" x14ac:dyDescent="0.3">
      <c r="A223">
        <v>4291</v>
      </c>
      <c r="B223" t="s">
        <v>230</v>
      </c>
      <c r="C223" t="s">
        <v>8</v>
      </c>
      <c r="D223" t="s">
        <v>9</v>
      </c>
      <c r="E223">
        <v>0.92542219199999998</v>
      </c>
      <c r="F223">
        <v>7.4577793000000003E-2</v>
      </c>
      <c r="G223">
        <v>0.92542219199999998</v>
      </c>
      <c r="H223" t="b">
        <v>0</v>
      </c>
      <c r="I223" t="b">
        <v>0</v>
      </c>
      <c r="J223" t="b">
        <f t="shared" si="6"/>
        <v>0</v>
      </c>
      <c r="K223" t="b">
        <f t="shared" si="7"/>
        <v>0</v>
      </c>
    </row>
    <row r="224" spans="1:11" x14ac:dyDescent="0.3">
      <c r="A224">
        <v>840</v>
      </c>
      <c r="B224" t="s">
        <v>231</v>
      </c>
      <c r="C224" t="s">
        <v>8</v>
      </c>
      <c r="D224" t="s">
        <v>9</v>
      </c>
      <c r="E224">
        <v>0.92446738500000003</v>
      </c>
      <c r="F224">
        <v>7.5532637999999999E-2</v>
      </c>
      <c r="G224">
        <v>0.92446738500000003</v>
      </c>
      <c r="H224" t="b">
        <v>0</v>
      </c>
      <c r="I224" t="b">
        <v>0</v>
      </c>
      <c r="J224" t="b">
        <f t="shared" si="6"/>
        <v>0</v>
      </c>
      <c r="K224" t="b">
        <f t="shared" si="7"/>
        <v>0</v>
      </c>
    </row>
    <row r="225" spans="1:11" x14ac:dyDescent="0.3">
      <c r="A225">
        <v>3530</v>
      </c>
      <c r="B225" t="s">
        <v>232</v>
      </c>
      <c r="C225" t="s">
        <v>8</v>
      </c>
      <c r="D225" t="s">
        <v>9</v>
      </c>
      <c r="E225">
        <v>0.92375934100000001</v>
      </c>
      <c r="F225">
        <v>7.6240584E-2</v>
      </c>
      <c r="G225">
        <v>0.92375934100000001</v>
      </c>
      <c r="H225" t="b">
        <v>1</v>
      </c>
      <c r="I225" t="b">
        <v>1</v>
      </c>
      <c r="J225" t="b">
        <f t="shared" si="6"/>
        <v>1</v>
      </c>
      <c r="K225" t="b">
        <f t="shared" si="7"/>
        <v>0</v>
      </c>
    </row>
    <row r="226" spans="1:11" x14ac:dyDescent="0.3">
      <c r="A226">
        <v>1427</v>
      </c>
      <c r="B226" t="s">
        <v>233</v>
      </c>
      <c r="C226" t="s">
        <v>8</v>
      </c>
      <c r="D226" t="s">
        <v>9</v>
      </c>
      <c r="E226">
        <v>0.92346525199999996</v>
      </c>
      <c r="F226">
        <v>7.6534777999999998E-2</v>
      </c>
      <c r="G226">
        <v>0.92346525199999996</v>
      </c>
      <c r="H226" t="b">
        <v>0</v>
      </c>
      <c r="I226" t="b">
        <v>0</v>
      </c>
      <c r="J226" t="b">
        <f t="shared" si="6"/>
        <v>0</v>
      </c>
      <c r="K226" t="b">
        <f t="shared" si="7"/>
        <v>0</v>
      </c>
    </row>
    <row r="227" spans="1:11" x14ac:dyDescent="0.3">
      <c r="A227">
        <v>3804</v>
      </c>
      <c r="B227" t="s">
        <v>234</v>
      </c>
      <c r="C227" t="s">
        <v>8</v>
      </c>
      <c r="D227" t="s">
        <v>9</v>
      </c>
      <c r="E227">
        <v>0.923180997</v>
      </c>
      <c r="F227">
        <v>7.6818972999999999E-2</v>
      </c>
      <c r="G227">
        <v>0.923180997</v>
      </c>
      <c r="H227" t="b">
        <v>1</v>
      </c>
      <c r="I227" t="b">
        <v>0</v>
      </c>
      <c r="J227" t="b">
        <f t="shared" si="6"/>
        <v>0</v>
      </c>
      <c r="K227" t="b">
        <f t="shared" si="7"/>
        <v>1</v>
      </c>
    </row>
    <row r="228" spans="1:11" x14ac:dyDescent="0.3">
      <c r="A228">
        <v>111</v>
      </c>
      <c r="B228" t="s">
        <v>235</v>
      </c>
      <c r="C228" t="s">
        <v>8</v>
      </c>
      <c r="D228" t="s">
        <v>9</v>
      </c>
      <c r="E228">
        <v>0.92261707800000003</v>
      </c>
      <c r="F228">
        <v>7.7382907000000001E-2</v>
      </c>
      <c r="G228">
        <v>0.92261707800000003</v>
      </c>
      <c r="H228" t="b">
        <v>0</v>
      </c>
      <c r="I228" t="b">
        <v>0</v>
      </c>
      <c r="J228" t="b">
        <f t="shared" si="6"/>
        <v>0</v>
      </c>
      <c r="K228" t="b">
        <f t="shared" si="7"/>
        <v>0</v>
      </c>
    </row>
    <row r="229" spans="1:11" x14ac:dyDescent="0.3">
      <c r="A229">
        <v>7507</v>
      </c>
      <c r="B229" t="s">
        <v>236</v>
      </c>
      <c r="C229" t="s">
        <v>8</v>
      </c>
      <c r="D229" t="s">
        <v>9</v>
      </c>
      <c r="E229">
        <v>0.92129951700000001</v>
      </c>
      <c r="F229">
        <v>7.8700483000000002E-2</v>
      </c>
      <c r="G229">
        <v>0.92129951700000001</v>
      </c>
      <c r="H229" t="b">
        <v>0</v>
      </c>
      <c r="I229" t="b">
        <v>0</v>
      </c>
      <c r="J229" t="b">
        <f t="shared" si="6"/>
        <v>0</v>
      </c>
      <c r="K229" t="b">
        <f t="shared" si="7"/>
        <v>0</v>
      </c>
    </row>
    <row r="230" spans="1:11" x14ac:dyDescent="0.3">
      <c r="A230">
        <v>3020</v>
      </c>
      <c r="B230" t="s">
        <v>237</v>
      </c>
      <c r="C230" t="s">
        <v>8</v>
      </c>
      <c r="D230" t="s">
        <v>9</v>
      </c>
      <c r="E230">
        <v>0.918865025</v>
      </c>
      <c r="F230">
        <v>8.1134997E-2</v>
      </c>
      <c r="G230">
        <v>0.918865025</v>
      </c>
      <c r="H230" t="b">
        <v>1</v>
      </c>
      <c r="I230" t="b">
        <v>0</v>
      </c>
      <c r="J230" t="b">
        <f t="shared" si="6"/>
        <v>0</v>
      </c>
      <c r="K230" t="b">
        <f t="shared" si="7"/>
        <v>1</v>
      </c>
    </row>
    <row r="231" spans="1:11" x14ac:dyDescent="0.3">
      <c r="A231">
        <v>7314</v>
      </c>
      <c r="B231" t="s">
        <v>238</v>
      </c>
      <c r="C231" t="s">
        <v>8</v>
      </c>
      <c r="D231" t="s">
        <v>9</v>
      </c>
      <c r="E231">
        <v>0.91811323199999995</v>
      </c>
      <c r="F231">
        <v>8.1886767999999999E-2</v>
      </c>
      <c r="G231">
        <v>0.91811323199999995</v>
      </c>
      <c r="H231" t="b">
        <v>1</v>
      </c>
      <c r="I231" t="b">
        <v>1</v>
      </c>
      <c r="J231" t="b">
        <f t="shared" si="6"/>
        <v>1</v>
      </c>
      <c r="K231" t="b">
        <f t="shared" si="7"/>
        <v>0</v>
      </c>
    </row>
    <row r="232" spans="1:11" x14ac:dyDescent="0.3">
      <c r="A232">
        <v>10393</v>
      </c>
      <c r="B232" t="s">
        <v>239</v>
      </c>
      <c r="C232" t="s">
        <v>8</v>
      </c>
      <c r="D232" t="s">
        <v>9</v>
      </c>
      <c r="E232">
        <v>0.91775137200000001</v>
      </c>
      <c r="F232">
        <v>8.2248620999999994E-2</v>
      </c>
      <c r="G232">
        <v>0.91775137200000001</v>
      </c>
      <c r="H232" t="b">
        <v>1</v>
      </c>
      <c r="I232" t="b">
        <v>1</v>
      </c>
      <c r="J232" t="b">
        <f t="shared" si="6"/>
        <v>1</v>
      </c>
      <c r="K232" t="b">
        <f t="shared" si="7"/>
        <v>0</v>
      </c>
    </row>
    <row r="233" spans="1:11" x14ac:dyDescent="0.3">
      <c r="A233">
        <v>2191</v>
      </c>
      <c r="B233" t="s">
        <v>240</v>
      </c>
      <c r="C233" t="s">
        <v>8</v>
      </c>
      <c r="D233" t="s">
        <v>9</v>
      </c>
      <c r="E233">
        <v>0.9174698</v>
      </c>
      <c r="F233">
        <v>8.2530259999999994E-2</v>
      </c>
      <c r="G233">
        <v>0.9174698</v>
      </c>
      <c r="H233" t="b">
        <v>0</v>
      </c>
      <c r="I233" t="b">
        <v>0</v>
      </c>
      <c r="J233" t="b">
        <f t="shared" si="6"/>
        <v>0</v>
      </c>
      <c r="K233" t="b">
        <f t="shared" si="7"/>
        <v>0</v>
      </c>
    </row>
    <row r="234" spans="1:11" x14ac:dyDescent="0.3">
      <c r="A234">
        <v>6318</v>
      </c>
      <c r="B234" t="s">
        <v>241</v>
      </c>
      <c r="C234" t="s">
        <v>8</v>
      </c>
      <c r="D234" t="s">
        <v>9</v>
      </c>
      <c r="E234">
        <v>0.91691482099999999</v>
      </c>
      <c r="F234">
        <v>8.3085217000000003E-2</v>
      </c>
      <c r="G234">
        <v>0.91691482099999999</v>
      </c>
      <c r="H234" t="b">
        <v>1</v>
      </c>
      <c r="I234" t="b">
        <v>1</v>
      </c>
      <c r="J234" t="b">
        <f t="shared" si="6"/>
        <v>1</v>
      </c>
      <c r="K234" t="b">
        <f t="shared" si="7"/>
        <v>0</v>
      </c>
    </row>
    <row r="235" spans="1:11" x14ac:dyDescent="0.3">
      <c r="A235">
        <v>7550</v>
      </c>
      <c r="B235" t="s">
        <v>242</v>
      </c>
      <c r="C235" t="s">
        <v>8</v>
      </c>
      <c r="D235" t="s">
        <v>9</v>
      </c>
      <c r="E235">
        <v>0.91300672299999996</v>
      </c>
      <c r="F235">
        <v>8.6993255000000005E-2</v>
      </c>
      <c r="G235">
        <v>0.91300672299999996</v>
      </c>
      <c r="H235" t="b">
        <v>0</v>
      </c>
      <c r="I235" t="b">
        <v>1</v>
      </c>
      <c r="J235" t="b">
        <f t="shared" si="6"/>
        <v>0</v>
      </c>
      <c r="K235" t="b">
        <f t="shared" si="7"/>
        <v>1</v>
      </c>
    </row>
    <row r="236" spans="1:11" x14ac:dyDescent="0.3">
      <c r="A236">
        <v>6707</v>
      </c>
      <c r="B236" t="s">
        <v>243</v>
      </c>
      <c r="C236" t="s">
        <v>8</v>
      </c>
      <c r="D236" t="s">
        <v>9</v>
      </c>
      <c r="E236">
        <v>0.91161763699999998</v>
      </c>
      <c r="F236">
        <v>8.8382355999999995E-2</v>
      </c>
      <c r="G236">
        <v>0.91161763699999998</v>
      </c>
      <c r="H236" t="b">
        <v>0</v>
      </c>
      <c r="I236" t="b">
        <v>0</v>
      </c>
      <c r="J236" t="b">
        <f t="shared" si="6"/>
        <v>0</v>
      </c>
      <c r="K236" t="b">
        <f t="shared" si="7"/>
        <v>0</v>
      </c>
    </row>
    <row r="237" spans="1:11" x14ac:dyDescent="0.3">
      <c r="A237">
        <v>9890</v>
      </c>
      <c r="B237" t="s">
        <v>244</v>
      </c>
      <c r="C237" t="s">
        <v>8</v>
      </c>
      <c r="D237" t="s">
        <v>9</v>
      </c>
      <c r="E237">
        <v>0.907207549</v>
      </c>
      <c r="F237">
        <v>9.2792480999999996E-2</v>
      </c>
      <c r="G237">
        <v>0.907207549</v>
      </c>
      <c r="H237" t="b">
        <v>0</v>
      </c>
      <c r="I237" t="b">
        <v>1</v>
      </c>
      <c r="J237" t="b">
        <f t="shared" si="6"/>
        <v>0</v>
      </c>
      <c r="K237" t="b">
        <f t="shared" si="7"/>
        <v>1</v>
      </c>
    </row>
    <row r="238" spans="1:11" x14ac:dyDescent="0.3">
      <c r="A238">
        <v>10057</v>
      </c>
      <c r="B238" t="s">
        <v>245</v>
      </c>
      <c r="C238" t="s">
        <v>8</v>
      </c>
      <c r="D238" t="s">
        <v>9</v>
      </c>
      <c r="E238">
        <v>0.90541291199999996</v>
      </c>
      <c r="F238">
        <v>9.4587103000000006E-2</v>
      </c>
      <c r="G238">
        <v>0.90541291199999996</v>
      </c>
      <c r="H238" t="b">
        <v>0</v>
      </c>
      <c r="I238" t="b">
        <v>0</v>
      </c>
      <c r="J238" t="b">
        <f t="shared" si="6"/>
        <v>0</v>
      </c>
      <c r="K238" t="b">
        <f t="shared" si="7"/>
        <v>0</v>
      </c>
    </row>
    <row r="239" spans="1:11" x14ac:dyDescent="0.3">
      <c r="A239">
        <v>9163</v>
      </c>
      <c r="B239" t="s">
        <v>246</v>
      </c>
      <c r="C239" t="s">
        <v>8</v>
      </c>
      <c r="D239" t="s">
        <v>9</v>
      </c>
      <c r="E239">
        <v>0.903630614</v>
      </c>
      <c r="F239">
        <v>9.6369415999999999E-2</v>
      </c>
      <c r="G239">
        <v>0.903630614</v>
      </c>
      <c r="H239" t="b">
        <v>1</v>
      </c>
      <c r="I239" t="b">
        <v>1</v>
      </c>
      <c r="J239" t="b">
        <f t="shared" si="6"/>
        <v>1</v>
      </c>
      <c r="K239" t="b">
        <f t="shared" si="7"/>
        <v>0</v>
      </c>
    </row>
    <row r="240" spans="1:11" x14ac:dyDescent="0.3">
      <c r="A240">
        <v>6847</v>
      </c>
      <c r="B240" t="s">
        <v>247</v>
      </c>
      <c r="C240" t="s">
        <v>8</v>
      </c>
      <c r="D240" t="s">
        <v>9</v>
      </c>
      <c r="E240">
        <v>0.89861887699999998</v>
      </c>
      <c r="F240">
        <v>0.101381183</v>
      </c>
      <c r="G240">
        <v>0.89861887699999998</v>
      </c>
      <c r="H240" t="b">
        <v>0</v>
      </c>
      <c r="I240" t="b">
        <v>0</v>
      </c>
      <c r="J240" t="b">
        <f t="shared" si="6"/>
        <v>0</v>
      </c>
      <c r="K240" t="b">
        <f t="shared" si="7"/>
        <v>0</v>
      </c>
    </row>
    <row r="241" spans="1:11" x14ac:dyDescent="0.3">
      <c r="A241">
        <v>3608</v>
      </c>
      <c r="B241" t="s">
        <v>248</v>
      </c>
      <c r="C241" t="s">
        <v>8</v>
      </c>
      <c r="D241" t="s">
        <v>9</v>
      </c>
      <c r="E241">
        <v>0.89736324499999998</v>
      </c>
      <c r="F241">
        <v>0.102636769</v>
      </c>
      <c r="G241">
        <v>0.89736324499999998</v>
      </c>
      <c r="H241" t="b">
        <v>0</v>
      </c>
      <c r="I241" t="b">
        <v>0</v>
      </c>
      <c r="J241" t="b">
        <f t="shared" si="6"/>
        <v>0</v>
      </c>
      <c r="K241" t="b">
        <f t="shared" si="7"/>
        <v>0</v>
      </c>
    </row>
    <row r="242" spans="1:11" x14ac:dyDescent="0.3">
      <c r="A242">
        <v>10391</v>
      </c>
      <c r="B242" t="s">
        <v>249</v>
      </c>
      <c r="C242" t="s">
        <v>8</v>
      </c>
      <c r="D242" t="s">
        <v>9</v>
      </c>
      <c r="E242">
        <v>0.89711439599999998</v>
      </c>
      <c r="F242">
        <v>0.102885641</v>
      </c>
      <c r="G242">
        <v>0.89711439599999998</v>
      </c>
      <c r="H242" t="b">
        <v>0</v>
      </c>
      <c r="I242" t="b">
        <v>1</v>
      </c>
      <c r="J242" t="b">
        <f t="shared" si="6"/>
        <v>0</v>
      </c>
      <c r="K242" t="b">
        <f t="shared" si="7"/>
        <v>1</v>
      </c>
    </row>
    <row r="243" spans="1:11" x14ac:dyDescent="0.3">
      <c r="A243">
        <v>2173</v>
      </c>
      <c r="B243" t="s">
        <v>250</v>
      </c>
      <c r="C243" t="s">
        <v>8</v>
      </c>
      <c r="D243" t="s">
        <v>9</v>
      </c>
      <c r="E243">
        <v>0.89644521499999996</v>
      </c>
      <c r="F243">
        <v>0.103554733</v>
      </c>
      <c r="G243">
        <v>0.89644521499999996</v>
      </c>
      <c r="H243" t="b">
        <v>0</v>
      </c>
      <c r="I243" t="b">
        <v>0</v>
      </c>
      <c r="J243" t="b">
        <f t="shared" si="6"/>
        <v>0</v>
      </c>
      <c r="K243" t="b">
        <f t="shared" si="7"/>
        <v>0</v>
      </c>
    </row>
    <row r="244" spans="1:11" x14ac:dyDescent="0.3">
      <c r="A244">
        <v>3562</v>
      </c>
      <c r="B244" t="s">
        <v>251</v>
      </c>
      <c r="C244" t="s">
        <v>8</v>
      </c>
      <c r="D244" t="s">
        <v>9</v>
      </c>
      <c r="E244">
        <v>0.89568352699999998</v>
      </c>
      <c r="F244">
        <v>0.10431648</v>
      </c>
      <c r="G244">
        <v>0.89568352699999998</v>
      </c>
      <c r="H244" t="b">
        <v>0</v>
      </c>
      <c r="I244" t="b">
        <v>0</v>
      </c>
      <c r="J244" t="b">
        <f t="shared" si="6"/>
        <v>0</v>
      </c>
      <c r="K244" t="b">
        <f t="shared" si="7"/>
        <v>0</v>
      </c>
    </row>
    <row r="245" spans="1:11" x14ac:dyDescent="0.3">
      <c r="A245">
        <v>3137</v>
      </c>
      <c r="B245" t="s">
        <v>252</v>
      </c>
      <c r="C245" t="s">
        <v>8</v>
      </c>
      <c r="D245" t="s">
        <v>9</v>
      </c>
      <c r="E245">
        <v>0.88354957099999998</v>
      </c>
      <c r="F245">
        <v>0.116450369</v>
      </c>
      <c r="G245">
        <v>0.88354957099999998</v>
      </c>
      <c r="H245" t="b">
        <v>1</v>
      </c>
      <c r="I245" t="b">
        <v>0</v>
      </c>
      <c r="J245" t="b">
        <f t="shared" si="6"/>
        <v>0</v>
      </c>
      <c r="K245" t="b">
        <f t="shared" si="7"/>
        <v>1</v>
      </c>
    </row>
    <row r="246" spans="1:11" x14ac:dyDescent="0.3">
      <c r="A246">
        <v>2359</v>
      </c>
      <c r="B246" t="s">
        <v>253</v>
      </c>
      <c r="C246" t="s">
        <v>8</v>
      </c>
      <c r="D246" t="s">
        <v>9</v>
      </c>
      <c r="E246">
        <v>0.87926477199999997</v>
      </c>
      <c r="F246">
        <v>0.120735176</v>
      </c>
      <c r="G246">
        <v>0.87926477199999997</v>
      </c>
      <c r="H246" t="b">
        <v>0</v>
      </c>
      <c r="I246" t="b">
        <v>1</v>
      </c>
      <c r="J246" t="b">
        <f t="shared" si="6"/>
        <v>0</v>
      </c>
      <c r="K246" t="b">
        <f t="shared" si="7"/>
        <v>1</v>
      </c>
    </row>
    <row r="247" spans="1:11" x14ac:dyDescent="0.3">
      <c r="A247">
        <v>3066</v>
      </c>
      <c r="B247" t="s">
        <v>254</v>
      </c>
      <c r="C247" t="s">
        <v>8</v>
      </c>
      <c r="D247" t="s">
        <v>9</v>
      </c>
      <c r="E247">
        <v>0.87878268999999998</v>
      </c>
      <c r="F247">
        <v>0.121217296</v>
      </c>
      <c r="G247">
        <v>0.87878268999999998</v>
      </c>
      <c r="H247" t="b">
        <v>0</v>
      </c>
      <c r="I247" t="b">
        <v>1</v>
      </c>
      <c r="J247" t="b">
        <f t="shared" si="6"/>
        <v>0</v>
      </c>
      <c r="K247" t="b">
        <f t="shared" si="7"/>
        <v>1</v>
      </c>
    </row>
    <row r="248" spans="1:11" x14ac:dyDescent="0.3">
      <c r="A248">
        <v>3738</v>
      </c>
      <c r="B248" t="s">
        <v>255</v>
      </c>
      <c r="C248" t="s">
        <v>8</v>
      </c>
      <c r="D248" t="s">
        <v>9</v>
      </c>
      <c r="E248">
        <v>0.87509405600000001</v>
      </c>
      <c r="F248">
        <v>0.124905877</v>
      </c>
      <c r="G248">
        <v>0.87509405600000001</v>
      </c>
      <c r="H248" t="b">
        <v>1</v>
      </c>
      <c r="I248" t="b">
        <v>0</v>
      </c>
      <c r="J248" t="b">
        <f t="shared" si="6"/>
        <v>0</v>
      </c>
      <c r="K248" t="b">
        <f t="shared" si="7"/>
        <v>1</v>
      </c>
    </row>
    <row r="249" spans="1:11" x14ac:dyDescent="0.3">
      <c r="A249">
        <v>4433</v>
      </c>
      <c r="B249" t="s">
        <v>256</v>
      </c>
      <c r="C249" t="s">
        <v>8</v>
      </c>
      <c r="D249" t="s">
        <v>9</v>
      </c>
      <c r="E249">
        <v>0.84774517999999999</v>
      </c>
      <c r="F249">
        <v>0.15225485</v>
      </c>
      <c r="G249">
        <v>0.84774517999999999</v>
      </c>
      <c r="H249" t="b">
        <v>0</v>
      </c>
      <c r="I249" t="b">
        <v>0</v>
      </c>
      <c r="J249" t="b">
        <f t="shared" si="6"/>
        <v>0</v>
      </c>
      <c r="K249" t="b">
        <f t="shared" si="7"/>
        <v>0</v>
      </c>
    </row>
    <row r="250" spans="1:11" x14ac:dyDescent="0.3">
      <c r="A250">
        <v>1143</v>
      </c>
      <c r="B250" t="s">
        <v>257</v>
      </c>
      <c r="C250" t="s">
        <v>8</v>
      </c>
      <c r="D250" t="s">
        <v>9</v>
      </c>
      <c r="E250">
        <v>0.83514159899999996</v>
      </c>
      <c r="F250">
        <v>0.16485844599999999</v>
      </c>
      <c r="G250">
        <v>0.83514159899999996</v>
      </c>
      <c r="H250" t="b">
        <v>1</v>
      </c>
      <c r="I250" t="b">
        <v>1</v>
      </c>
      <c r="J250" t="b">
        <f t="shared" si="6"/>
        <v>1</v>
      </c>
      <c r="K250" t="b">
        <f t="shared" si="7"/>
        <v>0</v>
      </c>
    </row>
    <row r="251" spans="1:11" x14ac:dyDescent="0.3">
      <c r="A251">
        <v>5300</v>
      </c>
      <c r="B251" t="s">
        <v>258</v>
      </c>
      <c r="C251" t="s">
        <v>8</v>
      </c>
      <c r="D251" t="s">
        <v>9</v>
      </c>
      <c r="E251">
        <v>0.82503098200000002</v>
      </c>
      <c r="F251">
        <v>0.17496904699999999</v>
      </c>
      <c r="G251">
        <v>0.82503098200000002</v>
      </c>
      <c r="H251" t="b">
        <v>0</v>
      </c>
      <c r="I251" t="b">
        <v>0</v>
      </c>
      <c r="J251" t="b">
        <f t="shared" si="6"/>
        <v>0</v>
      </c>
      <c r="K251" t="b">
        <f t="shared" si="7"/>
        <v>0</v>
      </c>
    </row>
    <row r="252" spans="1:11" x14ac:dyDescent="0.3">
      <c r="A252">
        <v>8037</v>
      </c>
      <c r="B252" t="s">
        <v>259</v>
      </c>
      <c r="C252" t="s">
        <v>8</v>
      </c>
      <c r="D252" t="s">
        <v>9</v>
      </c>
      <c r="E252">
        <v>0.81716042799999999</v>
      </c>
      <c r="F252">
        <v>0.18283960199999999</v>
      </c>
      <c r="G252">
        <v>0.81716042799999999</v>
      </c>
      <c r="H252" t="b">
        <v>1</v>
      </c>
      <c r="I252" t="b">
        <v>1</v>
      </c>
      <c r="J252" t="b">
        <f t="shared" si="6"/>
        <v>1</v>
      </c>
      <c r="K252" t="b">
        <f t="shared" si="7"/>
        <v>0</v>
      </c>
    </row>
    <row r="253" spans="1:11" x14ac:dyDescent="0.3">
      <c r="A253">
        <v>3407</v>
      </c>
      <c r="B253" t="s">
        <v>260</v>
      </c>
      <c r="C253" t="s">
        <v>8</v>
      </c>
      <c r="D253" t="s">
        <v>9</v>
      </c>
      <c r="E253">
        <v>0.74764805999999995</v>
      </c>
      <c r="F253">
        <v>0.25235191000000001</v>
      </c>
      <c r="G253">
        <v>0.74764805999999995</v>
      </c>
      <c r="H253" t="b">
        <v>0</v>
      </c>
      <c r="I253" t="b">
        <v>0</v>
      </c>
      <c r="J253" t="b">
        <f t="shared" si="6"/>
        <v>0</v>
      </c>
      <c r="K253" t="b">
        <f t="shared" si="7"/>
        <v>0</v>
      </c>
    </row>
    <row r="254" spans="1:11" x14ac:dyDescent="0.3">
      <c r="A254">
        <v>7720</v>
      </c>
      <c r="B254" t="s">
        <v>261</v>
      </c>
      <c r="C254" t="s">
        <v>8</v>
      </c>
      <c r="D254" t="s">
        <v>9</v>
      </c>
      <c r="E254">
        <v>0.74326014500000004</v>
      </c>
      <c r="F254">
        <v>0.25673982499999998</v>
      </c>
      <c r="G254">
        <v>0.74326014500000004</v>
      </c>
      <c r="H254" t="b">
        <v>0</v>
      </c>
      <c r="I254" t="b">
        <v>0</v>
      </c>
      <c r="J254" t="b">
        <f t="shared" si="6"/>
        <v>0</v>
      </c>
      <c r="K254" t="b">
        <f t="shared" si="7"/>
        <v>0</v>
      </c>
    </row>
    <row r="255" spans="1:11" x14ac:dyDescent="0.3">
      <c r="A255">
        <v>8073</v>
      </c>
      <c r="B255" t="s">
        <v>262</v>
      </c>
      <c r="C255" t="s">
        <v>8</v>
      </c>
      <c r="D255" t="s">
        <v>9</v>
      </c>
      <c r="E255">
        <v>0.73092925500000006</v>
      </c>
      <c r="F255">
        <v>0.269070804</v>
      </c>
      <c r="G255">
        <v>0.73092925500000006</v>
      </c>
      <c r="H255" t="b">
        <v>0</v>
      </c>
      <c r="I255" t="b">
        <v>1</v>
      </c>
      <c r="J255" t="b">
        <f t="shared" si="6"/>
        <v>0</v>
      </c>
      <c r="K255" t="b">
        <f t="shared" si="7"/>
        <v>1</v>
      </c>
    </row>
    <row r="256" spans="1:11" x14ac:dyDescent="0.3">
      <c r="A256">
        <v>4580</v>
      </c>
      <c r="B256" t="s">
        <v>263</v>
      </c>
      <c r="C256" t="s">
        <v>8</v>
      </c>
      <c r="D256" t="s">
        <v>9</v>
      </c>
      <c r="E256">
        <v>0.70021551800000004</v>
      </c>
      <c r="F256">
        <v>0.29978448200000002</v>
      </c>
      <c r="G256">
        <v>0.70021551800000004</v>
      </c>
      <c r="H256" t="b">
        <v>0</v>
      </c>
      <c r="I256" t="b">
        <v>0</v>
      </c>
      <c r="J256" t="b">
        <f t="shared" si="6"/>
        <v>0</v>
      </c>
      <c r="K256" t="b">
        <f t="shared" si="7"/>
        <v>0</v>
      </c>
    </row>
    <row r="257" spans="1:11" x14ac:dyDescent="0.3">
      <c r="A257">
        <v>6345</v>
      </c>
      <c r="B257" t="s">
        <v>264</v>
      </c>
      <c r="C257" t="s">
        <v>8</v>
      </c>
      <c r="D257" t="s">
        <v>9</v>
      </c>
      <c r="E257">
        <v>0.67758512500000001</v>
      </c>
      <c r="F257">
        <v>0.32241490499999997</v>
      </c>
      <c r="G257">
        <v>0.67758512500000001</v>
      </c>
      <c r="H257" t="b">
        <v>1</v>
      </c>
      <c r="I257" t="b">
        <v>0</v>
      </c>
      <c r="J257" t="b">
        <f t="shared" si="6"/>
        <v>0</v>
      </c>
      <c r="K257" t="b">
        <f t="shared" si="7"/>
        <v>1</v>
      </c>
    </row>
    <row r="258" spans="1:11" x14ac:dyDescent="0.3">
      <c r="A258">
        <v>5838</v>
      </c>
      <c r="B258" t="s">
        <v>265</v>
      </c>
      <c r="C258" t="s">
        <v>8</v>
      </c>
      <c r="D258" t="s">
        <v>9</v>
      </c>
      <c r="E258">
        <v>0.630207717</v>
      </c>
      <c r="F258">
        <v>0.369792283</v>
      </c>
      <c r="G258">
        <v>0.630207717</v>
      </c>
      <c r="H258" t="b">
        <v>0</v>
      </c>
      <c r="I258" t="b">
        <v>0</v>
      </c>
      <c r="J258" t="b">
        <f t="shared" si="6"/>
        <v>0</v>
      </c>
      <c r="K258" t="b">
        <f t="shared" si="7"/>
        <v>0</v>
      </c>
    </row>
    <row r="259" spans="1:11" x14ac:dyDescent="0.3">
      <c r="A259">
        <v>6862</v>
      </c>
      <c r="B259" t="s">
        <v>266</v>
      </c>
      <c r="C259" t="s">
        <v>8</v>
      </c>
      <c r="D259" t="s">
        <v>9</v>
      </c>
      <c r="E259">
        <v>0.60663008699999998</v>
      </c>
      <c r="F259">
        <v>0.393369943</v>
      </c>
      <c r="G259">
        <v>0.60663008699999998</v>
      </c>
      <c r="H259" t="b">
        <v>0</v>
      </c>
      <c r="I259" t="b">
        <v>1</v>
      </c>
      <c r="J259" t="b">
        <f t="shared" ref="J259:J261" si="8">AND(H259:I259)</f>
        <v>0</v>
      </c>
      <c r="K259" t="b">
        <f t="shared" ref="K259:K261" si="9">NOT(H259=I259)</f>
        <v>1</v>
      </c>
    </row>
    <row r="260" spans="1:11" x14ac:dyDescent="0.3">
      <c r="A260">
        <v>2794</v>
      </c>
      <c r="B260" t="s">
        <v>267</v>
      </c>
      <c r="C260" t="s">
        <v>8</v>
      </c>
      <c r="D260" t="s">
        <v>9</v>
      </c>
      <c r="E260">
        <v>0.60106319200000002</v>
      </c>
      <c r="F260">
        <v>0.39893680799999998</v>
      </c>
      <c r="G260">
        <v>0.60106319200000002</v>
      </c>
      <c r="H260" t="b">
        <v>0</v>
      </c>
      <c r="I260" t="b">
        <v>0</v>
      </c>
      <c r="J260" t="b">
        <f t="shared" si="8"/>
        <v>0</v>
      </c>
      <c r="K260" t="b">
        <f t="shared" si="9"/>
        <v>0</v>
      </c>
    </row>
    <row r="261" spans="1:11" x14ac:dyDescent="0.3">
      <c r="A261">
        <v>4144</v>
      </c>
      <c r="B261" t="s">
        <v>268</v>
      </c>
      <c r="C261" t="s">
        <v>8</v>
      </c>
      <c r="D261" t="s">
        <v>9</v>
      </c>
      <c r="E261">
        <v>0.52179104099999996</v>
      </c>
      <c r="F261">
        <v>0.47820895899999999</v>
      </c>
      <c r="G261">
        <v>0.52179104099999996</v>
      </c>
      <c r="H261" t="b">
        <v>0</v>
      </c>
      <c r="I261" t="b">
        <v>1</v>
      </c>
      <c r="J261" t="b">
        <f t="shared" si="8"/>
        <v>0</v>
      </c>
      <c r="K261" t="b">
        <f t="shared" si="9"/>
        <v>1</v>
      </c>
    </row>
    <row r="262" spans="1:11" x14ac:dyDescent="0.3">
      <c r="A262" s="4" t="s">
        <v>272</v>
      </c>
      <c r="B262" s="4"/>
      <c r="C262" s="4"/>
      <c r="D262" s="4"/>
      <c r="E262" s="4"/>
      <c r="F262" s="4"/>
      <c r="G262" s="4">
        <v>260</v>
      </c>
      <c r="H262" s="4">
        <f>COUNTIF(H2:H261,"=TRUE")</f>
        <v>168</v>
      </c>
      <c r="I262" s="4">
        <f>COUNTIF(I2:I261,"=TRUE")</f>
        <v>160</v>
      </c>
      <c r="J262" s="4">
        <f>COUNTIF(J2:J261,"=TRUE")</f>
        <v>128</v>
      </c>
      <c r="K262" s="4">
        <f>COUNTIF(K2:K261,"=TRUE")</f>
        <v>72</v>
      </c>
    </row>
    <row r="263" spans="1:11" x14ac:dyDescent="0.3">
      <c r="G263" t="s">
        <v>281</v>
      </c>
      <c r="H263" s="5">
        <f>COUNTIF(H2:H261,FALSE)</f>
        <v>92</v>
      </c>
      <c r="I263" s="5">
        <f t="shared" ref="I263:J263" si="10">COUNTIF(I2:I261,FALSE)</f>
        <v>100</v>
      </c>
      <c r="J263" s="5">
        <f t="shared" si="10"/>
        <v>132</v>
      </c>
    </row>
    <row r="264" spans="1:11" x14ac:dyDescent="0.3">
      <c r="C264" s="2" t="s">
        <v>279</v>
      </c>
      <c r="D264" s="2" t="s">
        <v>269</v>
      </c>
    </row>
    <row r="265" spans="1:11" x14ac:dyDescent="0.3">
      <c r="B265" t="s">
        <v>276</v>
      </c>
      <c r="C265" s="6">
        <f>H262/G262</f>
        <v>0.64615384615384619</v>
      </c>
      <c r="D265" s="5">
        <f>H262</f>
        <v>168</v>
      </c>
      <c r="E265" t="s">
        <v>273</v>
      </c>
    </row>
    <row r="266" spans="1:11" x14ac:dyDescent="0.3">
      <c r="B266" t="s">
        <v>277</v>
      </c>
      <c r="C266" s="6">
        <f>I262/G262</f>
        <v>0.61538461538461542</v>
      </c>
      <c r="D266" s="5">
        <f>I262</f>
        <v>160</v>
      </c>
      <c r="E266" t="s">
        <v>274</v>
      </c>
    </row>
    <row r="267" spans="1:11" x14ac:dyDescent="0.3">
      <c r="B267" t="s">
        <v>278</v>
      </c>
      <c r="C267" s="6">
        <f>J262/G262</f>
        <v>0.49230769230769234</v>
      </c>
      <c r="D267" s="5">
        <f>J262</f>
        <v>128</v>
      </c>
      <c r="E267" t="s">
        <v>275</v>
      </c>
    </row>
    <row r="269" spans="1:11" x14ac:dyDescent="0.3">
      <c r="C269" s="1"/>
    </row>
    <row r="270" spans="1:11" x14ac:dyDescent="0.3">
      <c r="C270" s="1"/>
    </row>
    <row r="271" spans="1:11" x14ac:dyDescent="0.3">
      <c r="C27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camelbert_seed42_false_positive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Mohammad Alhawarat</cp:lastModifiedBy>
  <dcterms:created xsi:type="dcterms:W3CDTF">2025-12-08T18:41:43Z</dcterms:created>
  <dcterms:modified xsi:type="dcterms:W3CDTF">2025-12-08T19:52:59Z</dcterms:modified>
</cp:coreProperties>
</file>